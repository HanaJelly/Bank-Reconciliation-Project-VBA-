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1348fa3202e75c97/Data Analysis Project/"/>
    </mc:Choice>
  </mc:AlternateContent>
  <xr:revisionPtr revIDLastSave="2632" documentId="8_{D225F302-36F7-48B3-BB62-B02F004CE62E}" xr6:coauthVersionLast="47" xr6:coauthVersionMax="47" xr10:uidLastSave="{968DB48F-1E1D-4609-B844-E336CB6C06C1}"/>
  <bookViews>
    <workbookView xWindow="-98" yWindow="-98" windowWidth="21795" windowHeight="12975" activeTab="3" xr2:uid="{00000000-000D-0000-FFFF-FFFF00000000}"/>
  </bookViews>
  <sheets>
    <sheet name="Entry Form" sheetId="5" r:id="rId1"/>
    <sheet name="History Log" sheetId="6" r:id="rId2"/>
    <sheet name="Bank Statement" sheetId="1" r:id="rId3"/>
    <sheet name="Cash Book" sheetId="2" r:id="rId4"/>
    <sheet name="Reconcilliation sheet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9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2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2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100" i="4"/>
  <c r="F101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</calcChain>
</file>

<file path=xl/sharedStrings.xml><?xml version="1.0" encoding="utf-8"?>
<sst xmlns="http://schemas.openxmlformats.org/spreadsheetml/2006/main" count="789" uniqueCount="139">
  <si>
    <t>Date</t>
  </si>
  <si>
    <t>Transaction ID</t>
  </si>
  <si>
    <t>Description</t>
  </si>
  <si>
    <t>Type</t>
  </si>
  <si>
    <t>Amount (₹)</t>
  </si>
  <si>
    <t>TXN1000</t>
  </si>
  <si>
    <t>TXN1001</t>
  </si>
  <si>
    <t>TXN1002</t>
  </si>
  <si>
    <t>TXN1003</t>
  </si>
  <si>
    <t>TXN1004</t>
  </si>
  <si>
    <t>TXN1005</t>
  </si>
  <si>
    <t>TXN1006</t>
  </si>
  <si>
    <t>TXN1007</t>
  </si>
  <si>
    <t>TXN1008</t>
  </si>
  <si>
    <t>TXN1009</t>
  </si>
  <si>
    <t>TXN1010</t>
  </si>
  <si>
    <t>TXN1011</t>
  </si>
  <si>
    <t>TXN1012</t>
  </si>
  <si>
    <t>TXN1013</t>
  </si>
  <si>
    <t>TXN1014</t>
  </si>
  <si>
    <t>TXN1015</t>
  </si>
  <si>
    <t>TXN1016</t>
  </si>
  <si>
    <t>TXN1017</t>
  </si>
  <si>
    <t>TXN1018</t>
  </si>
  <si>
    <t>TXN1019</t>
  </si>
  <si>
    <t>TXN1020</t>
  </si>
  <si>
    <t>TXN1021</t>
  </si>
  <si>
    <t>TXN1022</t>
  </si>
  <si>
    <t>TXN1023</t>
  </si>
  <si>
    <t>TXN1024</t>
  </si>
  <si>
    <t>TXN1025</t>
  </si>
  <si>
    <t>TXN1026</t>
  </si>
  <si>
    <t>TXN1027</t>
  </si>
  <si>
    <t>TXN1028</t>
  </si>
  <si>
    <t>TXN1029</t>
  </si>
  <si>
    <t>TXN1030</t>
  </si>
  <si>
    <t>TXN1031</t>
  </si>
  <si>
    <t>TXN1032</t>
  </si>
  <si>
    <t>TXN1033</t>
  </si>
  <si>
    <t>TXN1034</t>
  </si>
  <si>
    <t>TXN1035</t>
  </si>
  <si>
    <t>TXN1036</t>
  </si>
  <si>
    <t>TXN1037</t>
  </si>
  <si>
    <t>TXN1038</t>
  </si>
  <si>
    <t>TXN1039</t>
  </si>
  <si>
    <t>TXN1040</t>
  </si>
  <si>
    <t>TXN1041</t>
  </si>
  <si>
    <t>TXN1042</t>
  </si>
  <si>
    <t>TXN1043</t>
  </si>
  <si>
    <t>TXN1044</t>
  </si>
  <si>
    <t>TXN1045</t>
  </si>
  <si>
    <t>TXN1046</t>
  </si>
  <si>
    <t>TXN1047</t>
  </si>
  <si>
    <t>TXN1048</t>
  </si>
  <si>
    <t>TXN1049</t>
  </si>
  <si>
    <t>TXN1050</t>
  </si>
  <si>
    <t>TXN1051</t>
  </si>
  <si>
    <t>TXN1052</t>
  </si>
  <si>
    <t>TXN1053</t>
  </si>
  <si>
    <t>TXN1054</t>
  </si>
  <si>
    <t>TXN1055</t>
  </si>
  <si>
    <t>TXN1056</t>
  </si>
  <si>
    <t>TXN1057</t>
  </si>
  <si>
    <t>TXN1058</t>
  </si>
  <si>
    <t>TXN1059</t>
  </si>
  <si>
    <t>TXN1060</t>
  </si>
  <si>
    <t>TXN1061</t>
  </si>
  <si>
    <t>TXN1062</t>
  </si>
  <si>
    <t>TXN1063</t>
  </si>
  <si>
    <t>TXN1064</t>
  </si>
  <si>
    <t>TXN1065</t>
  </si>
  <si>
    <t>TXN1066</t>
  </si>
  <si>
    <t>TXN1067</t>
  </si>
  <si>
    <t>TXN1068</t>
  </si>
  <si>
    <t>TXN1069</t>
  </si>
  <si>
    <t>TXN1070</t>
  </si>
  <si>
    <t>TXN1071</t>
  </si>
  <si>
    <t>TXN1072</t>
  </si>
  <si>
    <t>TXN1073</t>
  </si>
  <si>
    <t>TXN1074</t>
  </si>
  <si>
    <t>TXN1075</t>
  </si>
  <si>
    <t>TXN1076</t>
  </si>
  <si>
    <t>TXN1077</t>
  </si>
  <si>
    <t>TXN1078</t>
  </si>
  <si>
    <t>TXN1079</t>
  </si>
  <si>
    <t>TXN1080</t>
  </si>
  <si>
    <t>TXN1081</t>
  </si>
  <si>
    <t>TXN1082</t>
  </si>
  <si>
    <t>TXN1083</t>
  </si>
  <si>
    <t>TXN1084</t>
  </si>
  <si>
    <t>TXN1085</t>
  </si>
  <si>
    <t>TXN1086</t>
  </si>
  <si>
    <t>TXN1087</t>
  </si>
  <si>
    <t>TXN1088</t>
  </si>
  <si>
    <t>TXN1089</t>
  </si>
  <si>
    <t>TXN1090</t>
  </si>
  <si>
    <t>TXN1091</t>
  </si>
  <si>
    <t>TXN1092</t>
  </si>
  <si>
    <t>TXN1093</t>
  </si>
  <si>
    <t>TXN1094</t>
  </si>
  <si>
    <t>TXN1095</t>
  </si>
  <si>
    <t>TXN1096</t>
  </si>
  <si>
    <t>TXN1097</t>
  </si>
  <si>
    <t>TXN1098</t>
  </si>
  <si>
    <t>TXN1099</t>
  </si>
  <si>
    <t>Vendor Payment - Printica</t>
  </si>
  <si>
    <t>Software Subscription - Zoho</t>
  </si>
  <si>
    <t>NEFT from NetEdge Systems</t>
  </si>
  <si>
    <t>Customer Payment - ZephyrTech</t>
  </si>
  <si>
    <t>Utilities - Electricity Board</t>
  </si>
  <si>
    <t>Direct Credit - Stripe</t>
  </si>
  <si>
    <t>Payment to Revanta Designs</t>
  </si>
  <si>
    <t>UPI Receipt - Orbiz Solutions</t>
  </si>
  <si>
    <t>Cheque Deposit - Enzine Solutions</t>
  </si>
  <si>
    <t>Hosting - AWS</t>
  </si>
  <si>
    <t>Cheque Deposit - Aria Fintech</t>
  </si>
  <si>
    <t>Staff Reimbursement - Travel</t>
  </si>
  <si>
    <t>Internet Charges - Airtel</t>
  </si>
  <si>
    <t>Cheque Deposit - QuickFix Services</t>
  </si>
  <si>
    <t>Refund - ZephyrTech</t>
  </si>
  <si>
    <t>Bank Charges - ICICI</t>
  </si>
  <si>
    <t>ATM Withdrawal</t>
  </si>
  <si>
    <t>UPI Payment - UrbanClap</t>
  </si>
  <si>
    <t>Debit</t>
  </si>
  <si>
    <t>Credit</t>
  </si>
  <si>
    <t>Status</t>
  </si>
  <si>
    <t>Bank Date</t>
  </si>
  <si>
    <t>Book Date</t>
  </si>
  <si>
    <t>Bank Description</t>
  </si>
  <si>
    <t>Bank Amount (₹)</t>
  </si>
  <si>
    <t>Book Amount (₹)</t>
  </si>
  <si>
    <t>Book Description</t>
  </si>
  <si>
    <t>Amount Mismatch</t>
  </si>
  <si>
    <t>Matched</t>
  </si>
  <si>
    <t>Bank Only</t>
  </si>
  <si>
    <t>No Difference</t>
  </si>
  <si>
    <t>Timestamp</t>
  </si>
  <si>
    <t>Entry Type</t>
  </si>
  <si>
    <t xml:space="preserve">Type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</si>
</sst>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₹&quot;\ #,##0.00;&quot;₹&quot;\ \-#,##0.00"/>
    <numFmt numFmtId="164" formatCode="&quot;₹&quot;\ #,##0.00"/>
    <numFmt numFmtId="165" formatCode="dd/mmm/yyyy"/>
    <numFmt numFmtId="166" formatCode="dd/mmm/yyyy\ hh:mm\ AM/P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1" fillId="0" borderId="1" xfId="0" applyNumberFormat="1" applyFont="1" applyBorder="1" applyAlignment="1">
      <alignment horizontal="center" vertical="top"/>
    </xf>
    <xf numFmtId="164" fontId="0" fillId="0" borderId="0" xfId="0" applyNumberFormat="1"/>
    <xf numFmtId="165" fontId="1" fillId="0" borderId="1" xfId="0" applyNumberFormat="1" applyFont="1" applyBorder="1" applyAlignment="1">
      <alignment horizontal="center" vertical="top"/>
    </xf>
    <xf numFmtId="165" fontId="0" fillId="0" borderId="0" xfId="0" applyNumberFormat="1"/>
    <xf numFmtId="0" fontId="1" fillId="0" borderId="0" xfId="0" applyFont="1" applyAlignment="1">
      <alignment vertical="center"/>
    </xf>
    <xf numFmtId="164" fontId="0" fillId="0" borderId="0" xfId="0" applyNumberFormat="1" applyAlignment="1">
      <alignment horizontal="right"/>
    </xf>
    <xf numFmtId="7" fontId="0" fillId="0" borderId="0" xfId="0" applyNumberFormat="1"/>
    <xf numFmtId="0" fontId="0" fillId="0" borderId="0" xfId="0" applyAlignment="1">
      <alignment vertical="center" wrapText="1"/>
    </xf>
    <xf numFmtId="15" fontId="0" fillId="0" borderId="0" xfId="0" applyNumberFormat="1" applyAlignment="1">
      <alignment vertical="center" wrapText="1"/>
    </xf>
    <xf numFmtId="166" fontId="0" fillId="0" borderId="0" xfId="0" applyNumberFormat="1"/>
    <xf numFmtId="49" fontId="1" fillId="0" borderId="0" xfId="0" applyNumberFormat="1" applyFont="1" applyAlignment="1">
      <alignment vertical="center"/>
    </xf>
    <xf numFmtId="49" fontId="1" fillId="0" borderId="0" xfId="0" applyNumberFormat="1" applyFont="1"/>
    <xf numFmtId="14" fontId="0" fillId="0" borderId="0" xfId="0" applyNumberFormat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49" fontId="0" fillId="0" borderId="3" xfId="0" applyNumberFormat="1" applyBorder="1"/>
    <xf numFmtId="165" fontId="0" fillId="0" borderId="3" xfId="0" applyNumberFormat="1" applyBorder="1"/>
    <xf numFmtId="0" fontId="0" fillId="0" borderId="4" xfId="0" applyBorder="1"/>
    <xf numFmtId="2" fontId="0" fillId="0" borderId="4" xfId="0" applyNumberFormat="1" applyBorder="1"/>
  </cellXfs>
  <cellStyles count="1">
    <cellStyle name="Normal" xfId="0" builtinId="0"/>
  </cellStyles>
  <dxfs count="7">
    <dxf>
      <font>
        <b val="0"/>
        <i val="0"/>
        <color theme="5" tint="-0.2499465926084170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color theme="6" tint="-0.499984740745262"/>
      </font>
      <fill>
        <patternFill>
          <bgColor rgb="FF92D050"/>
        </patternFill>
      </fill>
    </dxf>
    <dxf>
      <font>
        <b/>
        <i/>
        <color theme="5" tint="-0.499984740745262"/>
      </font>
      <fill>
        <patternFill>
          <bgColor theme="5" tint="0.39994506668294322"/>
        </patternFill>
      </fill>
    </dxf>
    <dxf>
      <font>
        <b/>
        <i/>
        <color theme="5" tint="-0.499984740745262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6" tint="-0.499984740745262"/>
      </font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138113</xdr:colOff>
      <xdr:row>0</xdr:row>
      <xdr:rowOff>42863</xdr:rowOff>
    </xdr:from>
    <xdr:to>
      <xdr:col>5</xdr:col>
      <xdr:colOff>66675</xdr:colOff>
      <xdr:row>3</xdr:row>
      <xdr:rowOff>14288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29C5AA3-A3B0-5489-B15A-9D59A1A17B7E}"/>
            </a:ext>
          </a:extLst>
        </xdr:cNvPr>
        <xdr:cNvSpPr/>
      </xdr:nvSpPr>
      <xdr:spPr>
        <a:xfrm>
          <a:off x="138113" y="42863"/>
          <a:ext cx="3167062" cy="51435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2400" b="1">
              <a:solidFill>
                <a:schemeClr val="accent4">
                  <a:lumMod val="50000"/>
                </a:schemeClr>
              </a:solidFill>
            </a:rPr>
            <a:t>ENTRY FORM</a:t>
          </a:r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3</xdr:col>
      <xdr:colOff>352425</xdr:colOff>
      <xdr:row>14</xdr:row>
      <xdr:rowOff>33338</xdr:rowOff>
    </xdr:to>
    <xdr:sp macro="[0]!SubmitEntryFor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4112D84-A0BD-412A-89B6-0A9E82379042}"/>
            </a:ext>
          </a:extLst>
        </xdr:cNvPr>
        <xdr:cNvSpPr/>
      </xdr:nvSpPr>
      <xdr:spPr>
        <a:xfrm>
          <a:off x="647700" y="2171700"/>
          <a:ext cx="1857375" cy="39528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600" b="1">
              <a:solidFill>
                <a:schemeClr val="accent4">
                  <a:lumMod val="75000"/>
                </a:schemeClr>
              </a:solidFill>
            </a:rPr>
            <a:t>+ Add</a:t>
          </a:r>
          <a:r>
            <a:rPr lang="en-IN" sz="1600" b="1" baseline="0">
              <a:solidFill>
                <a:schemeClr val="accent4">
                  <a:lumMod val="75000"/>
                </a:schemeClr>
              </a:solidFill>
            </a:rPr>
            <a:t> Transaction</a:t>
          </a:r>
          <a:endParaRPr lang="en-IN" sz="1600" b="1">
            <a:solidFill>
              <a:schemeClr val="accent4">
                <a:lumMod val="7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28575</xdr:colOff>
      <xdr:row>12</xdr:row>
      <xdr:rowOff>76200</xdr:rowOff>
    </xdr:from>
    <xdr:to>
      <xdr:col>13</xdr:col>
      <xdr:colOff>609600</xdr:colOff>
      <xdr:row>14</xdr:row>
      <xdr:rowOff>90488</xdr:rowOff>
    </xdr:to>
    <xdr:sp macro="[0]!AutoMatchReconcilia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FEB022E-200B-C89F-DCF7-8E12A6876687}"/>
            </a:ext>
          </a:extLst>
        </xdr:cNvPr>
        <xdr:cNvSpPr/>
      </xdr:nvSpPr>
      <xdr:spPr>
        <a:xfrm>
          <a:off x="11768138" y="2247900"/>
          <a:ext cx="1876425" cy="37623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600" b="1"/>
            <a:t>Run</a:t>
          </a:r>
          <a:r>
            <a:rPr lang="en-IN" sz="1600" b="1" baseline="0"/>
            <a:t> Reconcilliation</a:t>
          </a:r>
          <a:endParaRPr lang="en-IN" sz="1600" b="1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6F21-5692-460A-BD89-39E2DAD8838D}">
  <sheetPr codeName="Sheet4">
    <tabColor theme="7" tint="0.59999389629810485"/>
  </sheetPr>
  <dimension ref="B4:C11"/>
  <sheetViews>
    <sheetView showGridLines="0" workbookViewId="0">
      <selection activeCell="B5" sqref="B5:C10"/>
    </sheetView>
  </sheetViews>
  <sheetFormatPr defaultRowHeight="14.25" x14ac:dyDescent="0.45"/>
  <cols>
    <col min="2" max="2" width="12" bestFit="1" customWidth="1"/>
    <col min="3" max="3" width="19.53125" bestFit="1" customWidth="1"/>
  </cols>
  <sheetData>
    <row r="4" spans="2:3" ht="14.65" thickBot="1" x14ac:dyDescent="0.5"/>
    <row r="5" spans="2:3" ht="14.65" thickTop="1" x14ac:dyDescent="0.45">
      <c r="B5" s="15" t="s">
        <v>137</v>
      </c>
      <c r="C5" s="16"/>
    </row>
    <row r="6" spans="2:3" x14ac:dyDescent="0.45">
      <c r="B6" s="17" t="s">
        <v>1</v>
      </c>
      <c r="C6" s="18"/>
    </row>
    <row r="7" spans="2:3" x14ac:dyDescent="0.45">
      <c r="B7" s="17" t="s">
        <v>138</v>
      </c>
      <c r="C7" s="18"/>
    </row>
    <row r="8" spans="2:3" x14ac:dyDescent="0.45">
      <c r="B8" s="17" t="s">
        <v>0</v>
      </c>
      <c r="C8" s="19"/>
    </row>
    <row r="9" spans="2:3" x14ac:dyDescent="0.45">
      <c r="B9" s="17" t="s">
        <v>2</v>
      </c>
      <c r="C9" s="18"/>
    </row>
    <row r="10" spans="2:3" ht="14.65" thickBot="1" x14ac:dyDescent="0.5">
      <c r="B10" s="20" t="s">
        <v>4</v>
      </c>
      <c r="C10" s="21"/>
    </row>
    <row r="11" spans="2:3" ht="14.65" thickTop="1" x14ac:dyDescent="0.45"/>
  </sheetData>
  <conditionalFormatting sqref="C5">
    <cfRule type="cellIs" dxfId="6" priority="1" operator="equal">
      <formula>"Cash"</formula>
    </cfRule>
    <cfRule type="cellIs" dxfId="5" priority="2" operator="equal">
      <formula>"Bank"</formula>
    </cfRule>
  </conditionalFormatting>
  <dataValidations count="2">
    <dataValidation type="list" showInputMessage="1" showErrorMessage="1" error="Entry type has been left blank" prompt="Please enter the correct Entry Type" sqref="C5" xr:uid="{B4DC8F71-38AA-4B59-81DA-239D56D740C8}">
      <formula1>"Bank, Cash"</formula1>
    </dataValidation>
    <dataValidation type="list" showInputMessage="1" showErrorMessage="1" error="Type shouldn't be empty" sqref="C7" xr:uid="{0B3649CF-806E-4197-8A9E-9A80197737BB}">
      <formula1>"Credit, Debit"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B9956-675C-4CF6-AD69-6BE7EEF54661}">
  <sheetPr codeName="Sheet5"/>
  <dimension ref="A1:G1"/>
  <sheetViews>
    <sheetView workbookViewId="0">
      <selection activeCell="A2" sqref="A2"/>
    </sheetView>
  </sheetViews>
  <sheetFormatPr defaultRowHeight="14.25" x14ac:dyDescent="0.45"/>
  <cols>
    <col min="1" max="1" width="18.265625" style="11" bestFit="1" customWidth="1"/>
    <col min="3" max="3" width="12.33203125" bestFit="1" customWidth="1"/>
    <col min="4" max="4" width="12.1328125" style="5" customWidth="1"/>
    <col min="5" max="5" width="11.06640625" customWidth="1"/>
    <col min="6" max="6" width="19.53125" customWidth="1"/>
    <col min="7" max="7" width="10.06640625" style="3" bestFit="1" customWidth="1"/>
  </cols>
  <sheetData>
    <row r="1" spans="1:7" x14ac:dyDescent="0.45">
      <c r="A1" s="12" t="s">
        <v>136</v>
      </c>
      <c r="B1" s="12" t="s">
        <v>137</v>
      </c>
      <c r="C1" s="12" t="s">
        <v>1</v>
      </c>
      <c r="D1" s="13" t="s">
        <v>0</v>
      </c>
      <c r="E1" s="12" t="s">
        <v>3</v>
      </c>
      <c r="F1" s="12" t="s">
        <v>2</v>
      </c>
      <c r="G1" s="13" t="s">
        <v>4</v>
      </c>
    </row>
  </sheetData>
  <sheetProtection algorithmName="SHA-512" hashValue="VqqEfwUSiaS/v9tTaqBZF8tf68IIwx8+bLDPYeheH2AgnRblED6yym4EeV9vLlb6lSk+q3NmPs707beTb2AEoQ==" saltValue="P3amDMfaXFjkBDmAhvwf3Q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E101"/>
  <sheetViews>
    <sheetView workbookViewId="0">
      <pane ySplit="1" topLeftCell="A59" activePane="bottomLeft" state="frozen"/>
      <selection pane="bottomLeft" activeCell="A102" sqref="A102:E102"/>
    </sheetView>
  </sheetViews>
  <sheetFormatPr defaultRowHeight="14.25" x14ac:dyDescent="0.45"/>
  <cols>
    <col min="1" max="1" width="11.3984375" style="5" bestFit="1" customWidth="1"/>
    <col min="2" max="2" width="12.33203125" bestFit="1" customWidth="1"/>
    <col min="3" max="3" width="28.265625" bestFit="1" customWidth="1"/>
    <col min="4" max="4" width="5.46484375" bestFit="1" customWidth="1"/>
    <col min="5" max="5" width="11.06640625" style="3" bestFit="1" customWidth="1"/>
  </cols>
  <sheetData>
    <row r="1" spans="1:5" x14ac:dyDescent="0.45">
      <c r="A1" s="4" t="s">
        <v>0</v>
      </c>
      <c r="B1" s="1" t="s">
        <v>1</v>
      </c>
      <c r="C1" s="1" t="s">
        <v>2</v>
      </c>
      <c r="D1" s="1" t="s">
        <v>3</v>
      </c>
      <c r="E1" s="2" t="s">
        <v>4</v>
      </c>
    </row>
    <row r="2" spans="1:5" x14ac:dyDescent="0.45">
      <c r="A2" s="5">
        <v>45798</v>
      </c>
      <c r="B2" t="s">
        <v>5</v>
      </c>
      <c r="C2" t="s">
        <v>105</v>
      </c>
      <c r="D2" t="s">
        <v>123</v>
      </c>
      <c r="E2" s="3">
        <v>1988.14</v>
      </c>
    </row>
    <row r="3" spans="1:5" x14ac:dyDescent="0.45">
      <c r="A3" s="5">
        <v>45785</v>
      </c>
      <c r="B3" t="s">
        <v>6</v>
      </c>
      <c r="C3" t="s">
        <v>106</v>
      </c>
      <c r="D3" t="s">
        <v>124</v>
      </c>
      <c r="E3" s="3">
        <v>44320.04</v>
      </c>
    </row>
    <row r="4" spans="1:5" x14ac:dyDescent="0.45">
      <c r="A4" s="5">
        <v>45791</v>
      </c>
      <c r="B4" t="s">
        <v>7</v>
      </c>
      <c r="C4" t="s">
        <v>107</v>
      </c>
      <c r="D4" t="s">
        <v>124</v>
      </c>
      <c r="E4" s="3">
        <v>2272.9299999999998</v>
      </c>
    </row>
    <row r="5" spans="1:5" x14ac:dyDescent="0.45">
      <c r="A5" s="5">
        <v>45794</v>
      </c>
      <c r="B5" t="s">
        <v>8</v>
      </c>
      <c r="C5" t="s">
        <v>108</v>
      </c>
      <c r="D5" t="s">
        <v>123</v>
      </c>
      <c r="E5" s="3">
        <v>33894.080000000002</v>
      </c>
    </row>
    <row r="6" spans="1:5" x14ac:dyDescent="0.45">
      <c r="A6" s="5">
        <v>45792</v>
      </c>
      <c r="B6" t="s">
        <v>9</v>
      </c>
      <c r="C6" t="s">
        <v>109</v>
      </c>
      <c r="D6" t="s">
        <v>124</v>
      </c>
      <c r="E6" s="3">
        <v>48661.11</v>
      </c>
    </row>
    <row r="7" spans="1:5" x14ac:dyDescent="0.45">
      <c r="A7" s="5">
        <v>45800</v>
      </c>
      <c r="B7" t="s">
        <v>10</v>
      </c>
      <c r="C7" t="s">
        <v>110</v>
      </c>
      <c r="D7" t="s">
        <v>124</v>
      </c>
      <c r="E7" s="3">
        <v>20744.91</v>
      </c>
    </row>
    <row r="8" spans="1:5" x14ac:dyDescent="0.45">
      <c r="A8" s="5">
        <v>45808</v>
      </c>
      <c r="B8" t="s">
        <v>11</v>
      </c>
      <c r="C8" t="s">
        <v>111</v>
      </c>
      <c r="D8" t="s">
        <v>123</v>
      </c>
      <c r="E8" s="3">
        <v>6581.51</v>
      </c>
    </row>
    <row r="9" spans="1:5" x14ac:dyDescent="0.45">
      <c r="A9" s="5">
        <v>45789</v>
      </c>
      <c r="B9" t="s">
        <v>12</v>
      </c>
      <c r="C9" t="s">
        <v>112</v>
      </c>
      <c r="D9" t="s">
        <v>124</v>
      </c>
      <c r="E9" s="3">
        <v>36421.699999999997</v>
      </c>
    </row>
    <row r="10" spans="1:5" x14ac:dyDescent="0.45">
      <c r="A10" s="5">
        <v>45792</v>
      </c>
      <c r="B10" t="s">
        <v>13</v>
      </c>
      <c r="C10" t="s">
        <v>113</v>
      </c>
      <c r="D10" t="s">
        <v>123</v>
      </c>
      <c r="E10" s="3">
        <v>7927.16</v>
      </c>
    </row>
    <row r="11" spans="1:5" x14ac:dyDescent="0.45">
      <c r="A11" s="5">
        <v>45795</v>
      </c>
      <c r="B11" t="s">
        <v>14</v>
      </c>
      <c r="C11" t="s">
        <v>114</v>
      </c>
      <c r="D11" t="s">
        <v>123</v>
      </c>
      <c r="E11" s="3">
        <v>49849.58</v>
      </c>
    </row>
    <row r="12" spans="1:5" x14ac:dyDescent="0.45">
      <c r="A12" s="5">
        <v>45784</v>
      </c>
      <c r="B12" t="s">
        <v>15</v>
      </c>
      <c r="C12" t="s">
        <v>115</v>
      </c>
      <c r="D12" t="s">
        <v>124</v>
      </c>
      <c r="E12" s="3">
        <v>3226.55</v>
      </c>
    </row>
    <row r="13" spans="1:5" x14ac:dyDescent="0.45">
      <c r="A13" s="5">
        <v>45780</v>
      </c>
      <c r="B13" t="s">
        <v>16</v>
      </c>
      <c r="C13" t="s">
        <v>116</v>
      </c>
      <c r="D13" t="s">
        <v>123</v>
      </c>
      <c r="E13" s="3">
        <v>52055.78</v>
      </c>
    </row>
    <row r="14" spans="1:5" x14ac:dyDescent="0.45">
      <c r="A14" s="5">
        <v>45792</v>
      </c>
      <c r="B14" t="s">
        <v>17</v>
      </c>
      <c r="C14" t="s">
        <v>112</v>
      </c>
      <c r="D14" t="s">
        <v>123</v>
      </c>
      <c r="E14" s="3">
        <v>10177.92</v>
      </c>
    </row>
    <row r="15" spans="1:5" x14ac:dyDescent="0.45">
      <c r="A15" s="5">
        <v>45799</v>
      </c>
      <c r="B15" t="s">
        <v>18</v>
      </c>
      <c r="C15" t="s">
        <v>109</v>
      </c>
      <c r="D15" t="s">
        <v>124</v>
      </c>
      <c r="E15" s="3">
        <v>42258.31</v>
      </c>
    </row>
    <row r="16" spans="1:5" x14ac:dyDescent="0.45">
      <c r="A16" s="5">
        <v>45798</v>
      </c>
      <c r="B16" t="s">
        <v>19</v>
      </c>
      <c r="C16" t="s">
        <v>117</v>
      </c>
      <c r="D16" t="s">
        <v>124</v>
      </c>
      <c r="E16" s="3">
        <v>32281.32</v>
      </c>
    </row>
    <row r="17" spans="1:5" x14ac:dyDescent="0.45">
      <c r="A17" s="5">
        <v>45792</v>
      </c>
      <c r="B17" t="s">
        <v>20</v>
      </c>
      <c r="C17" t="s">
        <v>118</v>
      </c>
      <c r="D17" t="s">
        <v>124</v>
      </c>
      <c r="E17" s="3">
        <v>16561.900000000001</v>
      </c>
    </row>
    <row r="18" spans="1:5" x14ac:dyDescent="0.45">
      <c r="A18" s="5">
        <v>45788</v>
      </c>
      <c r="B18" t="s">
        <v>21</v>
      </c>
      <c r="C18" t="s">
        <v>107</v>
      </c>
      <c r="D18" t="s">
        <v>124</v>
      </c>
      <c r="E18" s="3">
        <v>14128.36</v>
      </c>
    </row>
    <row r="19" spans="1:5" x14ac:dyDescent="0.45">
      <c r="A19" s="5">
        <v>45790</v>
      </c>
      <c r="B19" t="s">
        <v>22</v>
      </c>
      <c r="C19" t="s">
        <v>109</v>
      </c>
      <c r="D19" t="s">
        <v>123</v>
      </c>
      <c r="E19" s="3">
        <v>4438.22</v>
      </c>
    </row>
    <row r="20" spans="1:5" x14ac:dyDescent="0.45">
      <c r="A20" s="5">
        <v>45798</v>
      </c>
      <c r="B20" t="s">
        <v>23</v>
      </c>
      <c r="C20" t="s">
        <v>119</v>
      </c>
      <c r="D20" t="s">
        <v>123</v>
      </c>
      <c r="E20" s="3">
        <v>24040.1</v>
      </c>
    </row>
    <row r="21" spans="1:5" x14ac:dyDescent="0.45">
      <c r="A21" s="5">
        <v>45786</v>
      </c>
      <c r="B21" t="s">
        <v>24</v>
      </c>
      <c r="C21" t="s">
        <v>106</v>
      </c>
      <c r="D21" t="s">
        <v>123</v>
      </c>
      <c r="E21" s="3">
        <v>15174.34</v>
      </c>
    </row>
    <row r="22" spans="1:5" x14ac:dyDescent="0.45">
      <c r="A22" s="5">
        <v>45796</v>
      </c>
      <c r="B22" t="s">
        <v>25</v>
      </c>
      <c r="C22" t="s">
        <v>110</v>
      </c>
      <c r="D22" t="s">
        <v>123</v>
      </c>
      <c r="E22" s="3">
        <v>53920.46</v>
      </c>
    </row>
    <row r="23" spans="1:5" x14ac:dyDescent="0.45">
      <c r="A23" s="5">
        <v>45785</v>
      </c>
      <c r="B23" t="s">
        <v>26</v>
      </c>
      <c r="C23" t="s">
        <v>106</v>
      </c>
      <c r="D23" t="s">
        <v>124</v>
      </c>
      <c r="E23" s="3">
        <v>30816.81</v>
      </c>
    </row>
    <row r="24" spans="1:5" x14ac:dyDescent="0.45">
      <c r="A24" s="5">
        <v>45805</v>
      </c>
      <c r="B24" t="s">
        <v>27</v>
      </c>
      <c r="C24" t="s">
        <v>105</v>
      </c>
      <c r="D24" t="s">
        <v>124</v>
      </c>
      <c r="E24" s="3">
        <v>9594.06</v>
      </c>
    </row>
    <row r="25" spans="1:5" x14ac:dyDescent="0.45">
      <c r="A25" s="5">
        <v>45791</v>
      </c>
      <c r="B25" t="s">
        <v>28</v>
      </c>
      <c r="C25" t="s">
        <v>115</v>
      </c>
      <c r="D25" t="s">
        <v>123</v>
      </c>
      <c r="E25" s="3">
        <v>23393.66</v>
      </c>
    </row>
    <row r="26" spans="1:5" x14ac:dyDescent="0.45">
      <c r="A26" s="5">
        <v>45786</v>
      </c>
      <c r="B26" t="s">
        <v>29</v>
      </c>
      <c r="C26" t="s">
        <v>113</v>
      </c>
      <c r="D26" t="s">
        <v>124</v>
      </c>
      <c r="E26" s="3">
        <v>51716.39</v>
      </c>
    </row>
    <row r="27" spans="1:5" x14ac:dyDescent="0.45">
      <c r="A27" s="5">
        <v>45801</v>
      </c>
      <c r="B27" t="s">
        <v>30</v>
      </c>
      <c r="C27" t="s">
        <v>105</v>
      </c>
      <c r="D27" t="s">
        <v>123</v>
      </c>
      <c r="E27" s="3">
        <v>41061.769999999997</v>
      </c>
    </row>
    <row r="28" spans="1:5" x14ac:dyDescent="0.45">
      <c r="A28" s="5">
        <v>45788</v>
      </c>
      <c r="B28" t="s">
        <v>31</v>
      </c>
      <c r="C28" t="s">
        <v>105</v>
      </c>
      <c r="D28" t="s">
        <v>124</v>
      </c>
      <c r="E28" s="3">
        <v>17963.259999999998</v>
      </c>
    </row>
    <row r="29" spans="1:5" x14ac:dyDescent="0.45">
      <c r="A29" s="5">
        <v>45778</v>
      </c>
      <c r="B29" t="s">
        <v>32</v>
      </c>
      <c r="C29" t="s">
        <v>109</v>
      </c>
      <c r="D29" t="s">
        <v>124</v>
      </c>
      <c r="E29" s="3">
        <v>58327.34</v>
      </c>
    </row>
    <row r="30" spans="1:5" x14ac:dyDescent="0.45">
      <c r="A30" s="5">
        <v>45807</v>
      </c>
      <c r="B30" t="s">
        <v>33</v>
      </c>
      <c r="C30" t="s">
        <v>105</v>
      </c>
      <c r="D30" t="s">
        <v>123</v>
      </c>
      <c r="E30" s="3">
        <v>52295.85</v>
      </c>
    </row>
    <row r="31" spans="1:5" x14ac:dyDescent="0.45">
      <c r="A31" s="5">
        <v>45794</v>
      </c>
      <c r="B31" t="s">
        <v>34</v>
      </c>
      <c r="C31" t="s">
        <v>120</v>
      </c>
      <c r="D31" t="s">
        <v>124</v>
      </c>
      <c r="E31" s="3">
        <v>9593.94</v>
      </c>
    </row>
    <row r="32" spans="1:5" x14ac:dyDescent="0.45">
      <c r="A32" s="5">
        <v>45808</v>
      </c>
      <c r="B32" t="s">
        <v>35</v>
      </c>
      <c r="C32" t="s">
        <v>121</v>
      </c>
      <c r="D32" t="s">
        <v>123</v>
      </c>
      <c r="E32" s="3">
        <v>55150.36</v>
      </c>
    </row>
    <row r="33" spans="1:5" x14ac:dyDescent="0.45">
      <c r="A33" s="5">
        <v>45778</v>
      </c>
      <c r="B33" t="s">
        <v>36</v>
      </c>
      <c r="C33" t="s">
        <v>105</v>
      </c>
      <c r="D33" t="s">
        <v>123</v>
      </c>
      <c r="E33" s="3">
        <v>55781.37</v>
      </c>
    </row>
    <row r="34" spans="1:5" x14ac:dyDescent="0.45">
      <c r="A34" s="5">
        <v>45779</v>
      </c>
      <c r="B34" t="s">
        <v>37</v>
      </c>
      <c r="C34" t="s">
        <v>116</v>
      </c>
      <c r="D34" t="s">
        <v>124</v>
      </c>
      <c r="E34" s="3">
        <v>52741.57</v>
      </c>
    </row>
    <row r="35" spans="1:5" x14ac:dyDescent="0.45">
      <c r="A35" s="5">
        <v>45801</v>
      </c>
      <c r="B35" t="s">
        <v>38</v>
      </c>
      <c r="C35" t="s">
        <v>119</v>
      </c>
      <c r="D35" t="s">
        <v>124</v>
      </c>
      <c r="E35" s="3">
        <v>49053.38</v>
      </c>
    </row>
    <row r="36" spans="1:5" x14ac:dyDescent="0.45">
      <c r="A36" s="5">
        <v>45799</v>
      </c>
      <c r="B36" t="s">
        <v>39</v>
      </c>
      <c r="C36" t="s">
        <v>119</v>
      </c>
      <c r="D36" t="s">
        <v>124</v>
      </c>
      <c r="E36" s="3">
        <v>56837.5</v>
      </c>
    </row>
    <row r="37" spans="1:5" x14ac:dyDescent="0.45">
      <c r="A37" s="5">
        <v>45794</v>
      </c>
      <c r="B37" t="s">
        <v>40</v>
      </c>
      <c r="C37" t="s">
        <v>110</v>
      </c>
      <c r="D37" t="s">
        <v>124</v>
      </c>
      <c r="E37" s="3">
        <v>57879.59</v>
      </c>
    </row>
    <row r="38" spans="1:5" x14ac:dyDescent="0.45">
      <c r="A38" s="5">
        <v>45787</v>
      </c>
      <c r="B38" t="s">
        <v>41</v>
      </c>
      <c r="C38" t="s">
        <v>118</v>
      </c>
      <c r="D38" t="s">
        <v>123</v>
      </c>
      <c r="E38" s="3">
        <v>59711.39</v>
      </c>
    </row>
    <row r="39" spans="1:5" x14ac:dyDescent="0.45">
      <c r="A39" s="5">
        <v>45806</v>
      </c>
      <c r="B39" t="s">
        <v>42</v>
      </c>
      <c r="C39" t="s">
        <v>121</v>
      </c>
      <c r="D39" t="s">
        <v>124</v>
      </c>
      <c r="E39" s="3">
        <v>27363.43</v>
      </c>
    </row>
    <row r="40" spans="1:5" x14ac:dyDescent="0.45">
      <c r="A40" s="5">
        <v>45780</v>
      </c>
      <c r="B40" t="s">
        <v>43</v>
      </c>
      <c r="C40" t="s">
        <v>111</v>
      </c>
      <c r="D40" t="s">
        <v>124</v>
      </c>
      <c r="E40" s="3">
        <v>1751.54</v>
      </c>
    </row>
    <row r="41" spans="1:5" x14ac:dyDescent="0.45">
      <c r="A41" s="5">
        <v>45785</v>
      </c>
      <c r="B41" t="s">
        <v>44</v>
      </c>
      <c r="C41" t="s">
        <v>108</v>
      </c>
      <c r="D41" t="s">
        <v>124</v>
      </c>
      <c r="E41" s="3">
        <v>4724.09</v>
      </c>
    </row>
    <row r="42" spans="1:5" x14ac:dyDescent="0.45">
      <c r="A42" s="5">
        <v>45780</v>
      </c>
      <c r="B42" t="s">
        <v>45</v>
      </c>
      <c r="C42" t="s">
        <v>107</v>
      </c>
      <c r="D42" t="s">
        <v>124</v>
      </c>
      <c r="E42" s="3">
        <v>51648.31</v>
      </c>
    </row>
    <row r="43" spans="1:5" x14ac:dyDescent="0.45">
      <c r="A43" s="5">
        <v>45785</v>
      </c>
      <c r="B43" t="s">
        <v>46</v>
      </c>
      <c r="C43" t="s">
        <v>109</v>
      </c>
      <c r="D43" t="s">
        <v>124</v>
      </c>
      <c r="E43" s="3">
        <v>40304.18</v>
      </c>
    </row>
    <row r="44" spans="1:5" x14ac:dyDescent="0.45">
      <c r="A44" s="5">
        <v>45782</v>
      </c>
      <c r="B44" t="s">
        <v>47</v>
      </c>
      <c r="C44" t="s">
        <v>119</v>
      </c>
      <c r="D44" t="s">
        <v>123</v>
      </c>
      <c r="E44" s="3">
        <v>14958.34</v>
      </c>
    </row>
    <row r="45" spans="1:5" x14ac:dyDescent="0.45">
      <c r="A45" s="5">
        <v>45784</v>
      </c>
      <c r="B45" t="s">
        <v>48</v>
      </c>
      <c r="C45" t="s">
        <v>105</v>
      </c>
      <c r="D45" t="s">
        <v>123</v>
      </c>
      <c r="E45" s="3">
        <v>6267.38</v>
      </c>
    </row>
    <row r="46" spans="1:5" x14ac:dyDescent="0.45">
      <c r="A46" s="5">
        <v>45791</v>
      </c>
      <c r="B46" t="s">
        <v>49</v>
      </c>
      <c r="C46" t="s">
        <v>110</v>
      </c>
      <c r="D46" t="s">
        <v>124</v>
      </c>
      <c r="E46" s="3">
        <v>28287.97</v>
      </c>
    </row>
    <row r="47" spans="1:5" x14ac:dyDescent="0.45">
      <c r="A47" s="5">
        <v>45798</v>
      </c>
      <c r="B47" t="s">
        <v>50</v>
      </c>
      <c r="C47" t="s">
        <v>105</v>
      </c>
      <c r="D47" t="s">
        <v>123</v>
      </c>
      <c r="E47" s="3">
        <v>4106.45</v>
      </c>
    </row>
    <row r="48" spans="1:5" x14ac:dyDescent="0.45">
      <c r="A48" s="5">
        <v>45785</v>
      </c>
      <c r="B48" t="s">
        <v>51</v>
      </c>
      <c r="C48" t="s">
        <v>120</v>
      </c>
      <c r="D48" t="s">
        <v>123</v>
      </c>
      <c r="E48" s="3">
        <v>11817.43</v>
      </c>
    </row>
    <row r="49" spans="1:5" x14ac:dyDescent="0.45">
      <c r="A49" s="5">
        <v>45791</v>
      </c>
      <c r="B49" t="s">
        <v>52</v>
      </c>
      <c r="C49" t="s">
        <v>117</v>
      </c>
      <c r="D49" t="s">
        <v>124</v>
      </c>
      <c r="E49" s="3">
        <v>17073.439999999999</v>
      </c>
    </row>
    <row r="50" spans="1:5" x14ac:dyDescent="0.45">
      <c r="A50" s="5">
        <v>45792</v>
      </c>
      <c r="B50" t="s">
        <v>53</v>
      </c>
      <c r="C50" t="s">
        <v>113</v>
      </c>
      <c r="D50" t="s">
        <v>124</v>
      </c>
      <c r="E50" s="3">
        <v>6325.57</v>
      </c>
    </row>
    <row r="51" spans="1:5" x14ac:dyDescent="0.45">
      <c r="A51" s="5">
        <v>45807</v>
      </c>
      <c r="B51" t="s">
        <v>54</v>
      </c>
      <c r="C51" t="s">
        <v>116</v>
      </c>
      <c r="D51" t="s">
        <v>123</v>
      </c>
      <c r="E51" s="3">
        <v>10395.51</v>
      </c>
    </row>
    <row r="52" spans="1:5" x14ac:dyDescent="0.45">
      <c r="A52" s="5">
        <v>45784</v>
      </c>
      <c r="B52" t="s">
        <v>55</v>
      </c>
      <c r="C52" t="s">
        <v>118</v>
      </c>
      <c r="D52" t="s">
        <v>124</v>
      </c>
      <c r="E52" s="3">
        <v>54195.35</v>
      </c>
    </row>
    <row r="53" spans="1:5" x14ac:dyDescent="0.45">
      <c r="A53" s="5">
        <v>45778</v>
      </c>
      <c r="B53" t="s">
        <v>56</v>
      </c>
      <c r="C53" t="s">
        <v>118</v>
      </c>
      <c r="D53" t="s">
        <v>123</v>
      </c>
      <c r="E53" s="3">
        <v>16279.58</v>
      </c>
    </row>
    <row r="54" spans="1:5" x14ac:dyDescent="0.45">
      <c r="A54" s="5">
        <v>45791</v>
      </c>
      <c r="B54" t="s">
        <v>57</v>
      </c>
      <c r="C54" t="s">
        <v>113</v>
      </c>
      <c r="D54" t="s">
        <v>123</v>
      </c>
      <c r="E54" s="3">
        <v>39881.339999999997</v>
      </c>
    </row>
    <row r="55" spans="1:5" x14ac:dyDescent="0.45">
      <c r="A55" s="5">
        <v>45784</v>
      </c>
      <c r="B55" t="s">
        <v>58</v>
      </c>
      <c r="C55" t="s">
        <v>114</v>
      </c>
      <c r="D55" t="s">
        <v>124</v>
      </c>
      <c r="E55" s="3">
        <v>13453.2</v>
      </c>
    </row>
    <row r="56" spans="1:5" x14ac:dyDescent="0.45">
      <c r="A56" s="5">
        <v>45801</v>
      </c>
      <c r="B56" t="s">
        <v>59</v>
      </c>
      <c r="C56" t="s">
        <v>113</v>
      </c>
      <c r="D56" t="s">
        <v>123</v>
      </c>
      <c r="E56" s="3">
        <v>4126.9799999999996</v>
      </c>
    </row>
    <row r="57" spans="1:5" x14ac:dyDescent="0.45">
      <c r="A57" s="5">
        <v>45779</v>
      </c>
      <c r="B57" t="s">
        <v>60</v>
      </c>
      <c r="C57" t="s">
        <v>119</v>
      </c>
      <c r="D57" t="s">
        <v>124</v>
      </c>
      <c r="E57" s="3">
        <v>30419.599999999999</v>
      </c>
    </row>
    <row r="58" spans="1:5" x14ac:dyDescent="0.45">
      <c r="A58" s="5">
        <v>45808</v>
      </c>
      <c r="B58" t="s">
        <v>61</v>
      </c>
      <c r="C58" t="s">
        <v>121</v>
      </c>
      <c r="D58" t="s">
        <v>124</v>
      </c>
      <c r="E58" s="3">
        <v>5266.63</v>
      </c>
    </row>
    <row r="59" spans="1:5" x14ac:dyDescent="0.45">
      <c r="A59" s="5">
        <v>45797</v>
      </c>
      <c r="B59" t="s">
        <v>62</v>
      </c>
      <c r="C59" t="s">
        <v>115</v>
      </c>
      <c r="D59" t="s">
        <v>124</v>
      </c>
      <c r="E59" s="3">
        <v>40675.15</v>
      </c>
    </row>
    <row r="60" spans="1:5" x14ac:dyDescent="0.45">
      <c r="A60" s="5">
        <v>45781</v>
      </c>
      <c r="B60" t="s">
        <v>63</v>
      </c>
      <c r="C60" t="s">
        <v>116</v>
      </c>
      <c r="D60" t="s">
        <v>124</v>
      </c>
      <c r="E60" s="3">
        <v>34945.68</v>
      </c>
    </row>
    <row r="61" spans="1:5" x14ac:dyDescent="0.45">
      <c r="A61" s="5">
        <v>45780</v>
      </c>
      <c r="B61" t="s">
        <v>64</v>
      </c>
      <c r="C61" t="s">
        <v>110</v>
      </c>
      <c r="D61" t="s">
        <v>123</v>
      </c>
      <c r="E61" s="3">
        <v>39613.699999999997</v>
      </c>
    </row>
    <row r="62" spans="1:5" x14ac:dyDescent="0.45">
      <c r="A62" s="5">
        <v>45784</v>
      </c>
      <c r="B62" t="s">
        <v>65</v>
      </c>
      <c r="C62" t="s">
        <v>111</v>
      </c>
      <c r="D62" t="s">
        <v>123</v>
      </c>
      <c r="E62" s="3">
        <v>14701.81</v>
      </c>
    </row>
    <row r="63" spans="1:5" x14ac:dyDescent="0.45">
      <c r="A63" s="5">
        <v>45799</v>
      </c>
      <c r="B63" t="s">
        <v>66</v>
      </c>
      <c r="C63" t="s">
        <v>114</v>
      </c>
      <c r="D63" t="s">
        <v>124</v>
      </c>
      <c r="E63" s="3">
        <v>27704.86</v>
      </c>
    </row>
    <row r="64" spans="1:5" x14ac:dyDescent="0.45">
      <c r="A64" s="5">
        <v>45792</v>
      </c>
      <c r="B64" t="s">
        <v>67</v>
      </c>
      <c r="C64" t="s">
        <v>105</v>
      </c>
      <c r="D64" t="s">
        <v>124</v>
      </c>
      <c r="E64" s="3">
        <v>4859.01</v>
      </c>
    </row>
    <row r="65" spans="1:5" x14ac:dyDescent="0.45">
      <c r="A65" s="5">
        <v>45786</v>
      </c>
      <c r="B65" t="s">
        <v>68</v>
      </c>
      <c r="C65" t="s">
        <v>106</v>
      </c>
      <c r="D65" t="s">
        <v>124</v>
      </c>
      <c r="E65" s="3">
        <v>56028.93</v>
      </c>
    </row>
    <row r="66" spans="1:5" x14ac:dyDescent="0.45">
      <c r="A66" s="5">
        <v>45789</v>
      </c>
      <c r="B66" t="s">
        <v>69</v>
      </c>
      <c r="C66" t="s">
        <v>114</v>
      </c>
      <c r="D66" t="s">
        <v>123</v>
      </c>
      <c r="E66" s="3">
        <v>9885.94</v>
      </c>
    </row>
    <row r="67" spans="1:5" x14ac:dyDescent="0.45">
      <c r="A67" s="5">
        <v>45803</v>
      </c>
      <c r="B67" t="s">
        <v>70</v>
      </c>
      <c r="C67" t="s">
        <v>121</v>
      </c>
      <c r="D67" t="s">
        <v>123</v>
      </c>
      <c r="E67" s="3">
        <v>965.47</v>
      </c>
    </row>
    <row r="68" spans="1:5" x14ac:dyDescent="0.45">
      <c r="A68" s="5">
        <v>45781</v>
      </c>
      <c r="B68" t="s">
        <v>71</v>
      </c>
      <c r="C68" t="s">
        <v>106</v>
      </c>
      <c r="D68" t="s">
        <v>124</v>
      </c>
      <c r="E68" s="3">
        <v>16235.72</v>
      </c>
    </row>
    <row r="69" spans="1:5" x14ac:dyDescent="0.45">
      <c r="A69" s="5">
        <v>45795</v>
      </c>
      <c r="B69" t="s">
        <v>72</v>
      </c>
      <c r="C69" t="s">
        <v>106</v>
      </c>
      <c r="D69" t="s">
        <v>124</v>
      </c>
      <c r="E69" s="3">
        <v>16704.72</v>
      </c>
    </row>
    <row r="70" spans="1:5" x14ac:dyDescent="0.45">
      <c r="A70" s="5">
        <v>45788</v>
      </c>
      <c r="B70" t="s">
        <v>73</v>
      </c>
      <c r="C70" t="s">
        <v>120</v>
      </c>
      <c r="D70" t="s">
        <v>123</v>
      </c>
      <c r="E70" s="3">
        <v>41406.080000000002</v>
      </c>
    </row>
    <row r="71" spans="1:5" x14ac:dyDescent="0.45">
      <c r="A71" s="5">
        <v>45793</v>
      </c>
      <c r="B71" t="s">
        <v>74</v>
      </c>
      <c r="C71" t="s">
        <v>109</v>
      </c>
      <c r="D71" t="s">
        <v>124</v>
      </c>
      <c r="E71" s="3">
        <v>54367.519999999997</v>
      </c>
    </row>
    <row r="72" spans="1:5" x14ac:dyDescent="0.45">
      <c r="A72" s="5">
        <v>45798</v>
      </c>
      <c r="B72" t="s">
        <v>75</v>
      </c>
      <c r="C72" t="s">
        <v>110</v>
      </c>
      <c r="D72" t="s">
        <v>124</v>
      </c>
      <c r="E72" s="3">
        <v>49846.21</v>
      </c>
    </row>
    <row r="73" spans="1:5" x14ac:dyDescent="0.45">
      <c r="A73" s="5">
        <v>45788</v>
      </c>
      <c r="B73" t="s">
        <v>76</v>
      </c>
      <c r="C73" t="s">
        <v>106</v>
      </c>
      <c r="D73" t="s">
        <v>123</v>
      </c>
      <c r="E73" s="3">
        <v>38408.25</v>
      </c>
    </row>
    <row r="74" spans="1:5" x14ac:dyDescent="0.45">
      <c r="A74" s="5">
        <v>45801</v>
      </c>
      <c r="B74" t="s">
        <v>77</v>
      </c>
      <c r="C74" t="s">
        <v>122</v>
      </c>
      <c r="D74" t="s">
        <v>123</v>
      </c>
      <c r="E74" s="3">
        <v>33324.99</v>
      </c>
    </row>
    <row r="75" spans="1:5" x14ac:dyDescent="0.45">
      <c r="A75" s="5">
        <v>45778</v>
      </c>
      <c r="B75" t="s">
        <v>78</v>
      </c>
      <c r="C75" t="s">
        <v>105</v>
      </c>
      <c r="D75" t="s">
        <v>124</v>
      </c>
      <c r="E75" s="3">
        <v>4977.01</v>
      </c>
    </row>
    <row r="76" spans="1:5" x14ac:dyDescent="0.45">
      <c r="A76" s="5">
        <v>45779</v>
      </c>
      <c r="B76" t="s">
        <v>79</v>
      </c>
      <c r="C76" t="s">
        <v>112</v>
      </c>
      <c r="D76" t="s">
        <v>124</v>
      </c>
      <c r="E76" s="3">
        <v>35159.32</v>
      </c>
    </row>
    <row r="77" spans="1:5" x14ac:dyDescent="0.45">
      <c r="A77" s="5">
        <v>45782</v>
      </c>
      <c r="B77" t="s">
        <v>80</v>
      </c>
      <c r="C77" t="s">
        <v>107</v>
      </c>
      <c r="D77" t="s">
        <v>124</v>
      </c>
      <c r="E77" s="3">
        <v>18841.37</v>
      </c>
    </row>
    <row r="78" spans="1:5" x14ac:dyDescent="0.45">
      <c r="A78" s="5">
        <v>45784</v>
      </c>
      <c r="B78" t="s">
        <v>81</v>
      </c>
      <c r="C78" t="s">
        <v>116</v>
      </c>
      <c r="D78" t="s">
        <v>123</v>
      </c>
      <c r="E78" s="3">
        <v>40182.54</v>
      </c>
    </row>
    <row r="79" spans="1:5" x14ac:dyDescent="0.45">
      <c r="A79" s="5">
        <v>45806</v>
      </c>
      <c r="B79" t="s">
        <v>82</v>
      </c>
      <c r="C79" t="s">
        <v>110</v>
      </c>
      <c r="D79" t="s">
        <v>124</v>
      </c>
      <c r="E79" s="3">
        <v>58443.3</v>
      </c>
    </row>
    <row r="80" spans="1:5" x14ac:dyDescent="0.45">
      <c r="A80" s="5">
        <v>45805</v>
      </c>
      <c r="B80" t="s">
        <v>83</v>
      </c>
      <c r="C80" t="s">
        <v>117</v>
      </c>
      <c r="D80" t="s">
        <v>124</v>
      </c>
      <c r="E80" s="3">
        <v>58584.26</v>
      </c>
    </row>
    <row r="81" spans="1:5" x14ac:dyDescent="0.45">
      <c r="A81" s="5">
        <v>45778</v>
      </c>
      <c r="B81" t="s">
        <v>84</v>
      </c>
      <c r="C81" t="s">
        <v>117</v>
      </c>
      <c r="D81" t="s">
        <v>123</v>
      </c>
      <c r="E81" s="3">
        <v>44325.59</v>
      </c>
    </row>
    <row r="82" spans="1:5" x14ac:dyDescent="0.45">
      <c r="A82" s="5">
        <v>45803</v>
      </c>
      <c r="B82" t="s">
        <v>85</v>
      </c>
      <c r="C82" t="s">
        <v>116</v>
      </c>
      <c r="D82" t="s">
        <v>124</v>
      </c>
      <c r="E82" s="3">
        <v>16374.94</v>
      </c>
    </row>
    <row r="83" spans="1:5" x14ac:dyDescent="0.45">
      <c r="A83" s="5">
        <v>45805</v>
      </c>
      <c r="B83" t="s">
        <v>86</v>
      </c>
      <c r="C83" t="s">
        <v>107</v>
      </c>
      <c r="D83" t="s">
        <v>124</v>
      </c>
      <c r="E83" s="3">
        <v>51586.3</v>
      </c>
    </row>
    <row r="84" spans="1:5" x14ac:dyDescent="0.45">
      <c r="A84" s="5">
        <v>45804</v>
      </c>
      <c r="B84" t="s">
        <v>87</v>
      </c>
      <c r="C84" t="s">
        <v>122</v>
      </c>
      <c r="D84" t="s">
        <v>124</v>
      </c>
      <c r="E84" s="3">
        <v>21304.68</v>
      </c>
    </row>
    <row r="85" spans="1:5" x14ac:dyDescent="0.45">
      <c r="A85" s="5">
        <v>45778</v>
      </c>
      <c r="B85" t="s">
        <v>88</v>
      </c>
      <c r="C85" t="s">
        <v>120</v>
      </c>
      <c r="D85" t="s">
        <v>123</v>
      </c>
      <c r="E85" s="3">
        <v>24208.73</v>
      </c>
    </row>
    <row r="86" spans="1:5" x14ac:dyDescent="0.45">
      <c r="A86" s="5">
        <v>45808</v>
      </c>
      <c r="B86" t="s">
        <v>89</v>
      </c>
      <c r="C86" t="s">
        <v>109</v>
      </c>
      <c r="D86" t="s">
        <v>123</v>
      </c>
      <c r="E86" s="3">
        <v>21393.19</v>
      </c>
    </row>
    <row r="87" spans="1:5" x14ac:dyDescent="0.45">
      <c r="A87" s="5">
        <v>45804</v>
      </c>
      <c r="B87" t="s">
        <v>90</v>
      </c>
      <c r="C87" t="s">
        <v>113</v>
      </c>
      <c r="D87" t="s">
        <v>124</v>
      </c>
      <c r="E87" s="3">
        <v>20203.419999999998</v>
      </c>
    </row>
    <row r="88" spans="1:5" x14ac:dyDescent="0.45">
      <c r="A88" s="5">
        <v>45806</v>
      </c>
      <c r="B88" t="s">
        <v>91</v>
      </c>
      <c r="C88" t="s">
        <v>109</v>
      </c>
      <c r="D88" t="s">
        <v>123</v>
      </c>
      <c r="E88" s="3">
        <v>11124.79</v>
      </c>
    </row>
    <row r="89" spans="1:5" x14ac:dyDescent="0.45">
      <c r="A89" s="5">
        <v>45781</v>
      </c>
      <c r="B89" t="s">
        <v>92</v>
      </c>
      <c r="C89" t="s">
        <v>110</v>
      </c>
      <c r="D89" t="s">
        <v>123</v>
      </c>
      <c r="E89" s="3">
        <v>21068.38</v>
      </c>
    </row>
    <row r="90" spans="1:5" x14ac:dyDescent="0.45">
      <c r="A90" s="5">
        <v>45797</v>
      </c>
      <c r="B90" t="s">
        <v>93</v>
      </c>
      <c r="C90" t="s">
        <v>121</v>
      </c>
      <c r="D90" t="s">
        <v>124</v>
      </c>
      <c r="E90" s="3">
        <v>7380.92</v>
      </c>
    </row>
    <row r="91" spans="1:5" x14ac:dyDescent="0.45">
      <c r="A91" s="5">
        <v>45779</v>
      </c>
      <c r="B91" t="s">
        <v>94</v>
      </c>
      <c r="C91" t="s">
        <v>110</v>
      </c>
      <c r="D91" t="s">
        <v>124</v>
      </c>
      <c r="E91" s="3">
        <v>600.63</v>
      </c>
    </row>
    <row r="92" spans="1:5" x14ac:dyDescent="0.45">
      <c r="A92" s="5">
        <v>45791</v>
      </c>
      <c r="B92" t="s">
        <v>95</v>
      </c>
      <c r="C92" t="s">
        <v>115</v>
      </c>
      <c r="D92" t="s">
        <v>123</v>
      </c>
      <c r="E92" s="3">
        <v>56958.03</v>
      </c>
    </row>
    <row r="93" spans="1:5" x14ac:dyDescent="0.45">
      <c r="A93" s="5">
        <v>45788</v>
      </c>
      <c r="B93" t="s">
        <v>96</v>
      </c>
      <c r="C93" t="s">
        <v>105</v>
      </c>
      <c r="D93" t="s">
        <v>123</v>
      </c>
      <c r="E93" s="3">
        <v>43325.38</v>
      </c>
    </row>
    <row r="94" spans="1:5" x14ac:dyDescent="0.45">
      <c r="A94" s="5">
        <v>45787</v>
      </c>
      <c r="B94" t="s">
        <v>97</v>
      </c>
      <c r="C94" t="s">
        <v>110</v>
      </c>
      <c r="D94" t="s">
        <v>123</v>
      </c>
      <c r="E94" s="3">
        <v>19907.88</v>
      </c>
    </row>
    <row r="95" spans="1:5" x14ac:dyDescent="0.45">
      <c r="A95" s="5">
        <v>45782</v>
      </c>
      <c r="B95" t="s">
        <v>98</v>
      </c>
      <c r="C95" t="s">
        <v>120</v>
      </c>
      <c r="D95" t="s">
        <v>123</v>
      </c>
      <c r="E95" s="3">
        <v>25516.560000000001</v>
      </c>
    </row>
    <row r="96" spans="1:5" x14ac:dyDescent="0.45">
      <c r="A96" s="5">
        <v>45801</v>
      </c>
      <c r="B96" t="s">
        <v>99</v>
      </c>
      <c r="C96" t="s">
        <v>117</v>
      </c>
      <c r="D96" t="s">
        <v>123</v>
      </c>
      <c r="E96" s="3">
        <v>37123.14</v>
      </c>
    </row>
    <row r="97" spans="1:5" x14ac:dyDescent="0.45">
      <c r="A97" s="5">
        <v>45795</v>
      </c>
      <c r="B97" t="s">
        <v>100</v>
      </c>
      <c r="C97" t="s">
        <v>108</v>
      </c>
      <c r="D97" t="s">
        <v>124</v>
      </c>
      <c r="E97" s="3">
        <v>18580.560000000001</v>
      </c>
    </row>
    <row r="98" spans="1:5" x14ac:dyDescent="0.45">
      <c r="A98" s="5">
        <v>45803</v>
      </c>
      <c r="B98" t="s">
        <v>101</v>
      </c>
      <c r="C98" t="s">
        <v>111</v>
      </c>
      <c r="D98" t="s">
        <v>123</v>
      </c>
      <c r="E98" s="3">
        <v>28166.799999999999</v>
      </c>
    </row>
    <row r="99" spans="1:5" x14ac:dyDescent="0.45">
      <c r="A99" s="5">
        <v>45784</v>
      </c>
      <c r="B99" t="s">
        <v>102</v>
      </c>
      <c r="C99" t="s">
        <v>121</v>
      </c>
      <c r="D99" t="s">
        <v>124</v>
      </c>
      <c r="E99" s="3">
        <v>28654.58</v>
      </c>
    </row>
    <row r="100" spans="1:5" x14ac:dyDescent="0.45">
      <c r="A100" s="5">
        <v>45780</v>
      </c>
      <c r="B100" t="s">
        <v>103</v>
      </c>
      <c r="C100" t="s">
        <v>114</v>
      </c>
      <c r="D100" t="s">
        <v>123</v>
      </c>
      <c r="E100" s="3">
        <v>31169.39</v>
      </c>
    </row>
    <row r="101" spans="1:5" x14ac:dyDescent="0.45">
      <c r="A101" s="5">
        <v>45804</v>
      </c>
      <c r="B101" t="s">
        <v>104</v>
      </c>
      <c r="C101" t="s">
        <v>116</v>
      </c>
      <c r="D101" t="s">
        <v>124</v>
      </c>
      <c r="E101" s="3">
        <v>40531.339999999997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E65"/>
  <sheetViews>
    <sheetView tabSelected="1" workbookViewId="0">
      <pane ySplit="1" topLeftCell="A61" activePane="bottomLeft" state="frozen"/>
      <selection pane="bottomLeft" activeCell="F86" sqref="F86"/>
    </sheetView>
  </sheetViews>
  <sheetFormatPr defaultRowHeight="14.25" x14ac:dyDescent="0.45"/>
  <cols>
    <col min="1" max="1" width="11.3984375" style="5" bestFit="1" customWidth="1"/>
    <col min="2" max="2" width="12.33203125" bestFit="1" customWidth="1"/>
    <col min="3" max="3" width="28.265625" bestFit="1" customWidth="1"/>
    <col min="5" max="5" width="11.06640625" style="3" bestFit="1" customWidth="1"/>
  </cols>
  <sheetData>
    <row r="1" spans="1:5" x14ac:dyDescent="0.45">
      <c r="A1" s="4" t="s">
        <v>0</v>
      </c>
      <c r="B1" s="1" t="s">
        <v>1</v>
      </c>
      <c r="C1" s="1" t="s">
        <v>2</v>
      </c>
      <c r="D1" s="1" t="s">
        <v>3</v>
      </c>
      <c r="E1" s="2" t="s">
        <v>4</v>
      </c>
    </row>
    <row r="2" spans="1:5" x14ac:dyDescent="0.45">
      <c r="A2" s="5">
        <v>45798</v>
      </c>
      <c r="B2" t="s">
        <v>5</v>
      </c>
      <c r="C2" t="s">
        <v>105</v>
      </c>
      <c r="D2" t="s">
        <v>123</v>
      </c>
      <c r="E2" s="3">
        <v>1988.14</v>
      </c>
    </row>
    <row r="3" spans="1:5" x14ac:dyDescent="0.45">
      <c r="A3" s="5">
        <v>45791</v>
      </c>
      <c r="B3" t="s">
        <v>7</v>
      </c>
      <c r="C3" t="s">
        <v>107</v>
      </c>
      <c r="D3" t="s">
        <v>124</v>
      </c>
      <c r="E3" s="3">
        <v>2272.9299999999998</v>
      </c>
    </row>
    <row r="4" spans="1:5" x14ac:dyDescent="0.45">
      <c r="A4" s="5">
        <v>45794</v>
      </c>
      <c r="B4" t="s">
        <v>8</v>
      </c>
      <c r="C4" t="s">
        <v>108</v>
      </c>
      <c r="D4" t="s">
        <v>123</v>
      </c>
      <c r="E4" s="3">
        <v>33894.080000000002</v>
      </c>
    </row>
    <row r="5" spans="1:5" x14ac:dyDescent="0.45">
      <c r="A5" s="5">
        <v>45792</v>
      </c>
      <c r="B5" t="s">
        <v>9</v>
      </c>
      <c r="C5" t="s">
        <v>109</v>
      </c>
      <c r="D5" t="s">
        <v>124</v>
      </c>
      <c r="E5" s="3">
        <v>48661.11</v>
      </c>
    </row>
    <row r="6" spans="1:5" x14ac:dyDescent="0.45">
      <c r="A6" s="5">
        <v>45800</v>
      </c>
      <c r="B6" t="s">
        <v>10</v>
      </c>
      <c r="C6" t="s">
        <v>110</v>
      </c>
      <c r="D6" t="s">
        <v>124</v>
      </c>
      <c r="E6" s="3">
        <v>20744.91</v>
      </c>
    </row>
    <row r="7" spans="1:5" x14ac:dyDescent="0.45">
      <c r="A7" s="5">
        <v>45808</v>
      </c>
      <c r="B7" t="s">
        <v>11</v>
      </c>
      <c r="C7" t="s">
        <v>111</v>
      </c>
      <c r="D7" t="s">
        <v>123</v>
      </c>
      <c r="E7" s="3">
        <v>6581.51</v>
      </c>
    </row>
    <row r="8" spans="1:5" x14ac:dyDescent="0.45">
      <c r="A8" s="5">
        <v>45792</v>
      </c>
      <c r="B8" t="s">
        <v>13</v>
      </c>
      <c r="C8" t="s">
        <v>113</v>
      </c>
      <c r="D8" t="s">
        <v>123</v>
      </c>
      <c r="E8" s="3">
        <v>7927.16</v>
      </c>
    </row>
    <row r="9" spans="1:5" x14ac:dyDescent="0.45">
      <c r="A9" s="5">
        <v>45784</v>
      </c>
      <c r="B9" t="s">
        <v>15</v>
      </c>
      <c r="C9" t="s">
        <v>115</v>
      </c>
      <c r="D9" t="s">
        <v>124</v>
      </c>
      <c r="E9" s="3">
        <v>3226.55</v>
      </c>
    </row>
    <row r="10" spans="1:5" x14ac:dyDescent="0.45">
      <c r="A10" s="5">
        <v>45780</v>
      </c>
      <c r="B10" t="s">
        <v>16</v>
      </c>
      <c r="C10" t="s">
        <v>116</v>
      </c>
      <c r="D10" t="s">
        <v>123</v>
      </c>
      <c r="E10" s="3">
        <v>52055.78</v>
      </c>
    </row>
    <row r="11" spans="1:5" x14ac:dyDescent="0.45">
      <c r="A11" s="5">
        <v>45792</v>
      </c>
      <c r="B11" t="s">
        <v>17</v>
      </c>
      <c r="C11" t="s">
        <v>112</v>
      </c>
      <c r="D11" t="s">
        <v>123</v>
      </c>
      <c r="E11" s="3">
        <v>10177.92</v>
      </c>
    </row>
    <row r="12" spans="1:5" x14ac:dyDescent="0.45">
      <c r="A12" s="5">
        <v>45798</v>
      </c>
      <c r="B12" t="s">
        <v>19</v>
      </c>
      <c r="C12" t="s">
        <v>117</v>
      </c>
      <c r="D12" t="s">
        <v>124</v>
      </c>
      <c r="E12" s="3">
        <v>32281.32</v>
      </c>
    </row>
    <row r="13" spans="1:5" x14ac:dyDescent="0.45">
      <c r="A13" s="5">
        <v>45788</v>
      </c>
      <c r="B13" t="s">
        <v>21</v>
      </c>
      <c r="C13" t="s">
        <v>107</v>
      </c>
      <c r="D13" t="s">
        <v>124</v>
      </c>
      <c r="E13" s="3">
        <v>14128.36</v>
      </c>
    </row>
    <row r="14" spans="1:5" x14ac:dyDescent="0.45">
      <c r="A14" s="5">
        <v>45790</v>
      </c>
      <c r="B14" t="s">
        <v>22</v>
      </c>
      <c r="C14" t="s">
        <v>109</v>
      </c>
      <c r="D14" t="s">
        <v>123</v>
      </c>
      <c r="E14" s="3">
        <v>4438.22</v>
      </c>
    </row>
    <row r="15" spans="1:5" x14ac:dyDescent="0.45">
      <c r="A15" s="5">
        <v>45798</v>
      </c>
      <c r="B15" t="s">
        <v>23</v>
      </c>
      <c r="C15" t="s">
        <v>119</v>
      </c>
      <c r="D15" t="s">
        <v>123</v>
      </c>
      <c r="E15" s="3">
        <v>24040.1</v>
      </c>
    </row>
    <row r="16" spans="1:5" x14ac:dyDescent="0.45">
      <c r="A16" s="5">
        <v>45796</v>
      </c>
      <c r="B16" t="s">
        <v>25</v>
      </c>
      <c r="C16" t="s">
        <v>110</v>
      </c>
      <c r="D16" t="s">
        <v>123</v>
      </c>
      <c r="E16" s="3">
        <v>53920.46</v>
      </c>
    </row>
    <row r="17" spans="1:5" x14ac:dyDescent="0.45">
      <c r="A17" s="5">
        <v>45785</v>
      </c>
      <c r="B17" t="s">
        <v>26</v>
      </c>
      <c r="C17" t="s">
        <v>106</v>
      </c>
      <c r="D17" t="s">
        <v>124</v>
      </c>
      <c r="E17" s="3">
        <v>30816.81</v>
      </c>
    </row>
    <row r="18" spans="1:5" x14ac:dyDescent="0.45">
      <c r="A18" s="5">
        <v>45788</v>
      </c>
      <c r="B18" t="s">
        <v>31</v>
      </c>
      <c r="C18" t="s">
        <v>105</v>
      </c>
      <c r="D18" t="s">
        <v>124</v>
      </c>
      <c r="E18" s="3">
        <v>17963.259999999998</v>
      </c>
    </row>
    <row r="19" spans="1:5" x14ac:dyDescent="0.45">
      <c r="A19" s="5">
        <v>45808</v>
      </c>
      <c r="B19" t="s">
        <v>35</v>
      </c>
      <c r="C19" t="s">
        <v>121</v>
      </c>
      <c r="D19" t="s">
        <v>123</v>
      </c>
      <c r="E19" s="3">
        <v>55150.36</v>
      </c>
    </row>
    <row r="20" spans="1:5" x14ac:dyDescent="0.45">
      <c r="A20" s="5">
        <v>45778</v>
      </c>
      <c r="B20" t="s">
        <v>36</v>
      </c>
      <c r="C20" t="s">
        <v>105</v>
      </c>
      <c r="D20" t="s">
        <v>123</v>
      </c>
      <c r="E20" s="3">
        <v>55781.37</v>
      </c>
    </row>
    <row r="21" spans="1:5" x14ac:dyDescent="0.45">
      <c r="A21" s="5">
        <v>45779</v>
      </c>
      <c r="B21" t="s">
        <v>37</v>
      </c>
      <c r="C21" t="s">
        <v>116</v>
      </c>
      <c r="D21" t="s">
        <v>124</v>
      </c>
      <c r="E21" s="3">
        <v>52741.57</v>
      </c>
    </row>
    <row r="22" spans="1:5" x14ac:dyDescent="0.45">
      <c r="A22" s="5">
        <v>45801</v>
      </c>
      <c r="B22" t="s">
        <v>38</v>
      </c>
      <c r="C22" t="s">
        <v>119</v>
      </c>
      <c r="D22" t="s">
        <v>124</v>
      </c>
      <c r="E22" s="3">
        <v>49053.38</v>
      </c>
    </row>
    <row r="23" spans="1:5" x14ac:dyDescent="0.45">
      <c r="A23" s="5">
        <v>45799</v>
      </c>
      <c r="B23" t="s">
        <v>39</v>
      </c>
      <c r="C23" t="s">
        <v>119</v>
      </c>
      <c r="D23" t="s">
        <v>124</v>
      </c>
      <c r="E23" s="3">
        <v>56837.5</v>
      </c>
    </row>
    <row r="24" spans="1:5" x14ac:dyDescent="0.45">
      <c r="A24" s="5">
        <v>45787</v>
      </c>
      <c r="B24" t="s">
        <v>41</v>
      </c>
      <c r="C24" t="s">
        <v>118</v>
      </c>
      <c r="D24" t="s">
        <v>123</v>
      </c>
      <c r="E24" s="3">
        <v>59711.39</v>
      </c>
    </row>
    <row r="25" spans="1:5" x14ac:dyDescent="0.45">
      <c r="A25" s="5">
        <v>45806</v>
      </c>
      <c r="B25" t="s">
        <v>42</v>
      </c>
      <c r="C25" t="s">
        <v>121</v>
      </c>
      <c r="D25" t="s">
        <v>124</v>
      </c>
      <c r="E25" s="3">
        <v>27363.43</v>
      </c>
    </row>
    <row r="26" spans="1:5" x14ac:dyDescent="0.45">
      <c r="A26" s="5">
        <v>45785</v>
      </c>
      <c r="B26" t="s">
        <v>44</v>
      </c>
      <c r="C26" t="s">
        <v>108</v>
      </c>
      <c r="D26" t="s">
        <v>124</v>
      </c>
      <c r="E26" s="3">
        <v>4724.09</v>
      </c>
    </row>
    <row r="27" spans="1:5" x14ac:dyDescent="0.45">
      <c r="A27" s="5">
        <v>45782</v>
      </c>
      <c r="B27" t="s">
        <v>47</v>
      </c>
      <c r="C27" t="s">
        <v>119</v>
      </c>
      <c r="D27" t="s">
        <v>123</v>
      </c>
      <c r="E27" s="3">
        <v>14958.34</v>
      </c>
    </row>
    <row r="28" spans="1:5" x14ac:dyDescent="0.45">
      <c r="A28" s="5">
        <v>45784</v>
      </c>
      <c r="B28" t="s">
        <v>48</v>
      </c>
      <c r="C28" t="s">
        <v>105</v>
      </c>
      <c r="D28" t="s">
        <v>123</v>
      </c>
      <c r="E28" s="3">
        <v>6267.38</v>
      </c>
    </row>
    <row r="29" spans="1:5" x14ac:dyDescent="0.45">
      <c r="A29" s="5">
        <v>45798</v>
      </c>
      <c r="B29" t="s">
        <v>50</v>
      </c>
      <c r="C29" t="s">
        <v>105</v>
      </c>
      <c r="D29" t="s">
        <v>123</v>
      </c>
      <c r="E29" s="3">
        <v>4106.45</v>
      </c>
    </row>
    <row r="30" spans="1:5" x14ac:dyDescent="0.45">
      <c r="A30" s="5">
        <v>45785</v>
      </c>
      <c r="B30" t="s">
        <v>51</v>
      </c>
      <c r="C30" t="s">
        <v>120</v>
      </c>
      <c r="D30" t="s">
        <v>123</v>
      </c>
      <c r="E30" s="3">
        <v>11817.43</v>
      </c>
    </row>
    <row r="31" spans="1:5" x14ac:dyDescent="0.45">
      <c r="A31" s="5">
        <v>45791</v>
      </c>
      <c r="B31" t="s">
        <v>52</v>
      </c>
      <c r="C31" t="s">
        <v>117</v>
      </c>
      <c r="D31" t="s">
        <v>124</v>
      </c>
      <c r="E31" s="3">
        <v>17073.439999999999</v>
      </c>
    </row>
    <row r="32" spans="1:5" x14ac:dyDescent="0.45">
      <c r="A32" s="5">
        <v>45792</v>
      </c>
      <c r="B32" t="s">
        <v>53</v>
      </c>
      <c r="C32" t="s">
        <v>113</v>
      </c>
      <c r="D32" t="s">
        <v>124</v>
      </c>
      <c r="E32" s="3">
        <v>6325.57</v>
      </c>
    </row>
    <row r="33" spans="1:5" x14ac:dyDescent="0.45">
      <c r="A33" s="5">
        <v>45807</v>
      </c>
      <c r="B33" t="s">
        <v>54</v>
      </c>
      <c r="C33" t="s">
        <v>116</v>
      </c>
      <c r="D33" t="s">
        <v>123</v>
      </c>
      <c r="E33" s="3">
        <v>10395.51</v>
      </c>
    </row>
    <row r="34" spans="1:5" x14ac:dyDescent="0.45">
      <c r="A34" s="5">
        <v>45784</v>
      </c>
      <c r="B34" t="s">
        <v>55</v>
      </c>
      <c r="C34" t="s">
        <v>118</v>
      </c>
      <c r="D34" t="s">
        <v>124</v>
      </c>
      <c r="E34" s="3">
        <v>54195.35</v>
      </c>
    </row>
    <row r="35" spans="1:5" x14ac:dyDescent="0.45">
      <c r="A35" s="5">
        <v>45778</v>
      </c>
      <c r="B35" t="s">
        <v>56</v>
      </c>
      <c r="C35" t="s">
        <v>118</v>
      </c>
      <c r="D35" t="s">
        <v>123</v>
      </c>
      <c r="E35" s="3">
        <v>16279.58</v>
      </c>
    </row>
    <row r="36" spans="1:5" x14ac:dyDescent="0.45">
      <c r="A36" s="5">
        <v>45791</v>
      </c>
      <c r="B36" t="s">
        <v>57</v>
      </c>
      <c r="C36" t="s">
        <v>113</v>
      </c>
      <c r="D36" t="s">
        <v>123</v>
      </c>
      <c r="E36" s="3">
        <v>39881.339999999997</v>
      </c>
    </row>
    <row r="37" spans="1:5" x14ac:dyDescent="0.45">
      <c r="A37" s="5">
        <v>45801</v>
      </c>
      <c r="B37" t="s">
        <v>59</v>
      </c>
      <c r="C37" t="s">
        <v>113</v>
      </c>
      <c r="D37" t="s">
        <v>123</v>
      </c>
      <c r="E37" s="3">
        <v>4126.9799999999996</v>
      </c>
    </row>
    <row r="38" spans="1:5" x14ac:dyDescent="0.45">
      <c r="A38" s="5">
        <v>45779</v>
      </c>
      <c r="B38" t="s">
        <v>60</v>
      </c>
      <c r="C38" t="s">
        <v>119</v>
      </c>
      <c r="D38" t="s">
        <v>124</v>
      </c>
      <c r="E38" s="3">
        <v>30419.599999999999</v>
      </c>
    </row>
    <row r="39" spans="1:5" x14ac:dyDescent="0.45">
      <c r="A39" s="5">
        <v>45808</v>
      </c>
      <c r="B39" t="s">
        <v>61</v>
      </c>
      <c r="C39" t="s">
        <v>121</v>
      </c>
      <c r="D39" t="s">
        <v>124</v>
      </c>
      <c r="E39" s="3">
        <v>5266.63</v>
      </c>
    </row>
    <row r="40" spans="1:5" x14ac:dyDescent="0.45">
      <c r="A40" s="5">
        <v>45797</v>
      </c>
      <c r="B40" t="s">
        <v>62</v>
      </c>
      <c r="C40" t="s">
        <v>115</v>
      </c>
      <c r="D40" t="s">
        <v>124</v>
      </c>
      <c r="E40" s="3">
        <v>40675.15</v>
      </c>
    </row>
    <row r="41" spans="1:5" x14ac:dyDescent="0.45">
      <c r="A41" s="5">
        <v>45780</v>
      </c>
      <c r="B41" t="s">
        <v>64</v>
      </c>
      <c r="C41" t="s">
        <v>110</v>
      </c>
      <c r="D41" t="s">
        <v>123</v>
      </c>
      <c r="E41" s="3">
        <v>39613.699999999997</v>
      </c>
    </row>
    <row r="42" spans="1:5" x14ac:dyDescent="0.45">
      <c r="A42" s="5">
        <v>45784</v>
      </c>
      <c r="B42" t="s">
        <v>65</v>
      </c>
      <c r="C42" t="s">
        <v>111</v>
      </c>
      <c r="D42" t="s">
        <v>123</v>
      </c>
      <c r="E42" s="3">
        <v>14701.81</v>
      </c>
    </row>
    <row r="43" spans="1:5" x14ac:dyDescent="0.45">
      <c r="A43" s="5">
        <v>45799</v>
      </c>
      <c r="B43" t="s">
        <v>66</v>
      </c>
      <c r="C43" t="s">
        <v>114</v>
      </c>
      <c r="D43" t="s">
        <v>124</v>
      </c>
      <c r="E43" s="3">
        <v>27704.86</v>
      </c>
    </row>
    <row r="44" spans="1:5" x14ac:dyDescent="0.45">
      <c r="A44" s="5">
        <v>45786</v>
      </c>
      <c r="B44" t="s">
        <v>68</v>
      </c>
      <c r="C44" t="s">
        <v>106</v>
      </c>
      <c r="D44" t="s">
        <v>124</v>
      </c>
      <c r="E44" s="3">
        <v>56028.93</v>
      </c>
    </row>
    <row r="45" spans="1:5" x14ac:dyDescent="0.45">
      <c r="A45" s="5">
        <v>45793</v>
      </c>
      <c r="B45" t="s">
        <v>74</v>
      </c>
      <c r="C45" t="s">
        <v>109</v>
      </c>
      <c r="D45" t="s">
        <v>124</v>
      </c>
      <c r="E45" s="3">
        <v>54367.519999999997</v>
      </c>
    </row>
    <row r="46" spans="1:5" x14ac:dyDescent="0.45">
      <c r="A46" s="5">
        <v>45798</v>
      </c>
      <c r="B46" t="s">
        <v>75</v>
      </c>
      <c r="C46" t="s">
        <v>110</v>
      </c>
      <c r="D46" t="s">
        <v>124</v>
      </c>
      <c r="E46" s="3">
        <v>49846.21</v>
      </c>
    </row>
    <row r="47" spans="1:5" x14ac:dyDescent="0.45">
      <c r="A47" s="5">
        <v>45788</v>
      </c>
      <c r="B47" t="s">
        <v>76</v>
      </c>
      <c r="C47" t="s">
        <v>106</v>
      </c>
      <c r="D47" t="s">
        <v>123</v>
      </c>
      <c r="E47" s="3">
        <v>38408.25</v>
      </c>
    </row>
    <row r="48" spans="1:5" x14ac:dyDescent="0.45">
      <c r="A48" s="5">
        <v>45779</v>
      </c>
      <c r="B48" t="s">
        <v>79</v>
      </c>
      <c r="C48" t="s">
        <v>112</v>
      </c>
      <c r="D48" t="s">
        <v>124</v>
      </c>
      <c r="E48" s="3">
        <v>35159.32</v>
      </c>
    </row>
    <row r="49" spans="1:5" x14ac:dyDescent="0.45">
      <c r="A49" s="5">
        <v>45782</v>
      </c>
      <c r="B49" t="s">
        <v>80</v>
      </c>
      <c r="C49" t="s">
        <v>107</v>
      </c>
      <c r="D49" t="s">
        <v>124</v>
      </c>
      <c r="E49" s="3">
        <v>18841.37</v>
      </c>
    </row>
    <row r="50" spans="1:5" x14ac:dyDescent="0.45">
      <c r="A50" s="5">
        <v>45806</v>
      </c>
      <c r="B50" t="s">
        <v>82</v>
      </c>
      <c r="C50" t="s">
        <v>110</v>
      </c>
      <c r="D50" t="s">
        <v>124</v>
      </c>
      <c r="E50" s="3">
        <v>58443.3</v>
      </c>
    </row>
    <row r="51" spans="1:5" x14ac:dyDescent="0.45">
      <c r="A51" s="5">
        <v>45805</v>
      </c>
      <c r="B51" t="s">
        <v>83</v>
      </c>
      <c r="C51" t="s">
        <v>117</v>
      </c>
      <c r="D51" t="s">
        <v>124</v>
      </c>
      <c r="E51" s="3">
        <v>58584.26</v>
      </c>
    </row>
    <row r="52" spans="1:5" x14ac:dyDescent="0.45">
      <c r="A52" s="5">
        <v>45778</v>
      </c>
      <c r="B52" t="s">
        <v>84</v>
      </c>
      <c r="C52" t="s">
        <v>117</v>
      </c>
      <c r="D52" t="s">
        <v>123</v>
      </c>
      <c r="E52" s="3">
        <v>44325.59</v>
      </c>
    </row>
    <row r="53" spans="1:5" x14ac:dyDescent="0.45">
      <c r="A53" s="5">
        <v>45803</v>
      </c>
      <c r="B53" t="s">
        <v>85</v>
      </c>
      <c r="C53" t="s">
        <v>116</v>
      </c>
      <c r="D53" t="s">
        <v>124</v>
      </c>
      <c r="E53" s="3">
        <v>16374.94</v>
      </c>
    </row>
    <row r="54" spans="1:5" x14ac:dyDescent="0.45">
      <c r="A54" s="5">
        <v>45805</v>
      </c>
      <c r="B54" t="s">
        <v>86</v>
      </c>
      <c r="C54" t="s">
        <v>107</v>
      </c>
      <c r="D54" t="s">
        <v>124</v>
      </c>
      <c r="E54" s="3">
        <v>51586.3</v>
      </c>
    </row>
    <row r="55" spans="1:5" x14ac:dyDescent="0.45">
      <c r="A55" s="5">
        <v>45804</v>
      </c>
      <c r="B55" t="s">
        <v>87</v>
      </c>
      <c r="C55" t="s">
        <v>122</v>
      </c>
      <c r="D55" t="s">
        <v>124</v>
      </c>
      <c r="E55" s="3">
        <v>21304.68</v>
      </c>
    </row>
    <row r="56" spans="1:5" x14ac:dyDescent="0.45">
      <c r="A56" s="5">
        <v>45778</v>
      </c>
      <c r="B56" t="s">
        <v>88</v>
      </c>
      <c r="C56" t="s">
        <v>120</v>
      </c>
      <c r="D56" t="s">
        <v>123</v>
      </c>
      <c r="E56" s="3">
        <v>24208.73</v>
      </c>
    </row>
    <row r="57" spans="1:5" x14ac:dyDescent="0.45">
      <c r="A57" s="5">
        <v>45804</v>
      </c>
      <c r="B57" t="s">
        <v>90</v>
      </c>
      <c r="C57" t="s">
        <v>113</v>
      </c>
      <c r="D57" t="s">
        <v>124</v>
      </c>
      <c r="E57" s="3">
        <v>20203.419999999998</v>
      </c>
    </row>
    <row r="58" spans="1:5" x14ac:dyDescent="0.45">
      <c r="A58" s="5">
        <v>45806</v>
      </c>
      <c r="B58" t="s">
        <v>91</v>
      </c>
      <c r="C58" t="s">
        <v>109</v>
      </c>
      <c r="D58" t="s">
        <v>123</v>
      </c>
      <c r="E58" s="3">
        <v>11124.79</v>
      </c>
    </row>
    <row r="59" spans="1:5" x14ac:dyDescent="0.45">
      <c r="A59" s="5">
        <v>45781</v>
      </c>
      <c r="B59" t="s">
        <v>92</v>
      </c>
      <c r="C59" t="s">
        <v>110</v>
      </c>
      <c r="D59" t="s">
        <v>123</v>
      </c>
      <c r="E59" s="3">
        <v>21068.38</v>
      </c>
    </row>
    <row r="60" spans="1:5" x14ac:dyDescent="0.45">
      <c r="A60" s="5">
        <v>45797</v>
      </c>
      <c r="B60" t="s">
        <v>93</v>
      </c>
      <c r="C60" t="s">
        <v>121</v>
      </c>
      <c r="D60" t="s">
        <v>124</v>
      </c>
      <c r="E60" s="3">
        <v>7380.92</v>
      </c>
    </row>
    <row r="61" spans="1:5" x14ac:dyDescent="0.45">
      <c r="A61" s="5">
        <v>45779</v>
      </c>
      <c r="B61" t="s">
        <v>94</v>
      </c>
      <c r="C61" t="s">
        <v>110</v>
      </c>
      <c r="D61" t="s">
        <v>124</v>
      </c>
      <c r="E61" s="3">
        <v>600.63</v>
      </c>
    </row>
    <row r="62" spans="1:5" x14ac:dyDescent="0.45">
      <c r="A62" s="5">
        <v>45801</v>
      </c>
      <c r="B62" t="s">
        <v>99</v>
      </c>
      <c r="C62" t="s">
        <v>117</v>
      </c>
      <c r="D62" t="s">
        <v>123</v>
      </c>
      <c r="E62" s="3">
        <v>37123.14</v>
      </c>
    </row>
    <row r="63" spans="1:5" x14ac:dyDescent="0.45">
      <c r="A63" s="5">
        <v>45795</v>
      </c>
      <c r="B63" t="s">
        <v>100</v>
      </c>
      <c r="C63" t="s">
        <v>108</v>
      </c>
      <c r="D63" t="s">
        <v>124</v>
      </c>
      <c r="E63" s="3">
        <v>18580.560000000001</v>
      </c>
    </row>
    <row r="64" spans="1:5" x14ac:dyDescent="0.45">
      <c r="A64" s="5">
        <v>45780</v>
      </c>
      <c r="B64" t="s">
        <v>103</v>
      </c>
      <c r="C64" t="s">
        <v>114</v>
      </c>
      <c r="D64" t="s">
        <v>123</v>
      </c>
      <c r="E64" s="3">
        <v>31169.39</v>
      </c>
    </row>
    <row r="65" spans="1:5" x14ac:dyDescent="0.45">
      <c r="A65" s="5">
        <v>45804</v>
      </c>
      <c r="B65" t="s">
        <v>104</v>
      </c>
      <c r="C65" t="s">
        <v>116</v>
      </c>
      <c r="D65" t="s">
        <v>124</v>
      </c>
      <c r="E65" s="3">
        <v>40531.339999999997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BFFAD-EBDE-40AB-91B1-03CDCFE1E57D}">
  <sheetPr codeName="Sheet3">
    <tabColor theme="9" tint="0.39997558519241921"/>
  </sheetPr>
  <dimension ref="A1:J107"/>
  <sheetViews>
    <sheetView topLeftCell="B1" workbookViewId="0">
      <pane ySplit="1" topLeftCell="A2" activePane="bottomLeft" state="frozen"/>
      <selection activeCell="B1" sqref="B1"/>
      <selection pane="bottomLeft" activeCell="E103" sqref="E103"/>
    </sheetView>
  </sheetViews>
  <sheetFormatPr defaultRowHeight="14.25" x14ac:dyDescent="0.45"/>
  <cols>
    <col min="1" max="1" width="12" bestFit="1" customWidth="1"/>
    <col min="2" max="2" width="8.53125" bestFit="1" customWidth="1"/>
    <col min="3" max="3" width="12.53125" customWidth="1"/>
    <col min="4" max="4" width="28.265625" bestFit="1" customWidth="1"/>
    <col min="5" max="5" width="14.59765625" bestFit="1" customWidth="1"/>
    <col min="6" max="6" width="11.3984375" bestFit="1" customWidth="1"/>
    <col min="7" max="7" width="28.265625" bestFit="1" customWidth="1"/>
    <col min="8" max="8" width="14.73046875" bestFit="1" customWidth="1"/>
    <col min="9" max="9" width="8.6640625" bestFit="1" customWidth="1"/>
    <col min="10" max="10" width="16.265625" bestFit="1" customWidth="1"/>
  </cols>
  <sheetData>
    <row r="1" spans="1:10" x14ac:dyDescent="0.45">
      <c r="A1" s="6" t="s">
        <v>1</v>
      </c>
      <c r="B1" s="6" t="s">
        <v>3</v>
      </c>
      <c r="C1" s="6" t="s">
        <v>126</v>
      </c>
      <c r="D1" s="6" t="s">
        <v>128</v>
      </c>
      <c r="E1" s="6" t="s">
        <v>129</v>
      </c>
      <c r="F1" s="6" t="s">
        <v>127</v>
      </c>
      <c r="G1" s="6" t="s">
        <v>131</v>
      </c>
      <c r="H1" s="6" t="s">
        <v>130</v>
      </c>
      <c r="I1" s="6" t="s">
        <v>125</v>
      </c>
      <c r="J1" s="6" t="s">
        <v>132</v>
      </c>
    </row>
    <row r="2" spans="1:10" x14ac:dyDescent="0.45">
      <c r="A2" t="s">
        <v>5</v>
      </c>
      <c r="B2" t="str">
        <f>IFERROR(INDEX('Bank Statement'!$D$2:$D$101, MATCH(A2, 'Bank Statement'!$B$2:$B$101, 0)), "NOT FOUND")</f>
        <v>Debit</v>
      </c>
      <c r="C2" s="5">
        <f>IFERROR(INDEX('Bank Statement'!$A$2:$A$101, MATCH(A2, 'Bank Statement'!$B$2:$B$101, 0)), "NOT FOUND")</f>
        <v>45798</v>
      </c>
      <c r="D2" t="str">
        <f>IFERROR(INDEX('Bank Statement'!$C$2:$C$101, MATCH(A2, 'Bank Statement'!$B$2:$B$101, 0)), "NOT FOUND")</f>
        <v>Vendor Payment - Printica</v>
      </c>
      <c r="E2" s="3">
        <f>IFERROR(INDEX('Bank Statement'!$E$2:$E$101, MATCH(A2, 'Bank Statement'!$B$2:$B$101, 0)), "NOT FOUND")</f>
        <v>1988.14</v>
      </c>
      <c r="F2" s="5">
        <f>IFERROR(INDEX('Cash Book'!$A$2:$A$101, MATCH(A2, 'Cash Book'!$B$2:$B$101, 0)), "NOT FOUND")</f>
        <v>45798</v>
      </c>
      <c r="G2" t="str">
        <f>IFERROR(INDEX('Cash Book'!$C$2:$C$101, MATCH(A2, 'Cash Book'!$B$2:$B$101, 0)), "NOT FOUND")</f>
        <v>Vendor Payment - Printica</v>
      </c>
      <c r="H2" s="7">
        <f>IFERROR(INDEX('Cash Book'!$E$2:$E$101, MATCH(A2, 'Cash Book'!$B$2:$B$101, 0)), "NOT FOUND")</f>
        <v>1988.14</v>
      </c>
      <c r="I2" t="s">
        <v>133</v>
      </c>
      <c r="J2" t="s">
        <v>135</v>
      </c>
    </row>
    <row r="3" spans="1:10" x14ac:dyDescent="0.45">
      <c r="A3" t="s">
        <v>6</v>
      </c>
      <c r="B3" t="str">
        <f>IFERROR(INDEX('Bank Statement'!$D$2:$D$101, MATCH(A3, 'Bank Statement'!$B$2:$B$101, 0)), "NOT FOUND")</f>
        <v>Credit</v>
      </c>
      <c r="C3" s="5">
        <f>IFERROR(INDEX('Bank Statement'!$A$2:$A$101, MATCH(A3, 'Bank Statement'!$B$2:$B$101, 0)), "NOT FOUND")</f>
        <v>45785</v>
      </c>
      <c r="D3" t="str">
        <f>IFERROR(INDEX('Bank Statement'!$C$2:$C$101, MATCH(A3, 'Bank Statement'!$B$2:$B$101, 0)), "NOT FOUND")</f>
        <v>Software Subscription - Zoho</v>
      </c>
      <c r="E3" s="3">
        <f>IFERROR(INDEX('Bank Statement'!$E$2:$E$101, MATCH(A3, 'Bank Statement'!$B$2:$B$101, 0)), "NOT FOUND")</f>
        <v>44320.04</v>
      </c>
      <c r="F3" s="5" t="str">
        <f>IFERROR(INDEX('Cash Book'!$A$2:$A$101, MATCH(A3, 'Cash Book'!$B$2:$B$101, 0)), "NOT FOUND")</f>
        <v>NOT FOUND</v>
      </c>
      <c r="G3" t="str">
        <f>IFERROR(INDEX('Cash Book'!$C$2:$C$101, MATCH(A3, 'Cash Book'!$B$2:$B$101, 0)), "NOT FOUND")</f>
        <v>NOT FOUND</v>
      </c>
      <c r="H3" s="7" t="str">
        <f>IFERROR(INDEX('Cash Book'!$E$2:$E$101, MATCH(A3, 'Cash Book'!$B$2:$B$101, 0)), "NOT FOUND")</f>
        <v>NOT FOUND</v>
      </c>
      <c r="I3" t="s">
        <v>134</v>
      </c>
      <c r="J3" s="8">
        <v>44320.04</v>
      </c>
    </row>
    <row r="4" spans="1:10" x14ac:dyDescent="0.45">
      <c r="A4" t="s">
        <v>7</v>
      </c>
      <c r="B4" t="str">
        <f>IFERROR(INDEX('Bank Statement'!$D$2:$D$101, MATCH(A4, 'Bank Statement'!$B$2:$B$101, 0)), "NOT FOUND")</f>
        <v>Credit</v>
      </c>
      <c r="C4" s="5">
        <f>IFERROR(INDEX('Bank Statement'!$A$2:$A$101, MATCH(A4, 'Bank Statement'!$B$2:$B$101, 0)), "NOT FOUND")</f>
        <v>45791</v>
      </c>
      <c r="D4" t="str">
        <f>IFERROR(INDEX('Bank Statement'!$C$2:$C$101, MATCH(A4, 'Bank Statement'!$B$2:$B$101, 0)), "NOT FOUND")</f>
        <v>NEFT from NetEdge Systems</v>
      </c>
      <c r="E4" s="3">
        <f>IFERROR(INDEX('Bank Statement'!$E$2:$E$101, MATCH(A4, 'Bank Statement'!$B$2:$B$101, 0)), "NOT FOUND")</f>
        <v>2272.9299999999998</v>
      </c>
      <c r="F4" s="5">
        <f>IFERROR(INDEX('Cash Book'!$A$2:$A$101, MATCH(A4, 'Cash Book'!$B$2:$B$101, 0)), "NOT FOUND")</f>
        <v>45791</v>
      </c>
      <c r="G4" t="str">
        <f>IFERROR(INDEX('Cash Book'!$C$2:$C$101, MATCH(A4, 'Cash Book'!$B$2:$B$101, 0)), "NOT FOUND")</f>
        <v>NEFT from NetEdge Systems</v>
      </c>
      <c r="H4" s="7">
        <f>IFERROR(INDEX('Cash Book'!$E$2:$E$101, MATCH(A4, 'Cash Book'!$B$2:$B$101, 0)), "NOT FOUND")</f>
        <v>2272.9299999999998</v>
      </c>
      <c r="I4" t="s">
        <v>133</v>
      </c>
      <c r="J4" t="s">
        <v>135</v>
      </c>
    </row>
    <row r="5" spans="1:10" x14ac:dyDescent="0.45">
      <c r="A5" t="s">
        <v>8</v>
      </c>
      <c r="B5" t="str">
        <f>IFERROR(INDEX('Bank Statement'!$D$2:$D$101, MATCH(A5, 'Bank Statement'!$B$2:$B$101, 0)), "NOT FOUND")</f>
        <v>Debit</v>
      </c>
      <c r="C5" s="5">
        <f>IFERROR(INDEX('Bank Statement'!$A$2:$A$101, MATCH(A5, 'Bank Statement'!$B$2:$B$101, 0)), "NOT FOUND")</f>
        <v>45794</v>
      </c>
      <c r="D5" t="str">
        <f>IFERROR(INDEX('Bank Statement'!$C$2:$C$101, MATCH(A5, 'Bank Statement'!$B$2:$B$101, 0)), "NOT FOUND")</f>
        <v>Customer Payment - ZephyrTech</v>
      </c>
      <c r="E5" s="3">
        <f>IFERROR(INDEX('Bank Statement'!$E$2:$E$101, MATCH(A5, 'Bank Statement'!$B$2:$B$101, 0)), "NOT FOUND")</f>
        <v>33894.080000000002</v>
      </c>
      <c r="F5" s="5">
        <f>IFERROR(INDEX('Cash Book'!$A$2:$A$101, MATCH(A5, 'Cash Book'!$B$2:$B$101, 0)), "NOT FOUND")</f>
        <v>45794</v>
      </c>
      <c r="G5" t="str">
        <f>IFERROR(INDEX('Cash Book'!$C$2:$C$101, MATCH(A5, 'Cash Book'!$B$2:$B$101, 0)), "NOT FOUND")</f>
        <v>Customer Payment - ZephyrTech</v>
      </c>
      <c r="H5" s="7">
        <f>IFERROR(INDEX('Cash Book'!$E$2:$E$101, MATCH(A5, 'Cash Book'!$B$2:$B$101, 0)), "NOT FOUND")</f>
        <v>33894.080000000002</v>
      </c>
      <c r="I5" t="s">
        <v>133</v>
      </c>
      <c r="J5" t="s">
        <v>135</v>
      </c>
    </row>
    <row r="6" spans="1:10" x14ac:dyDescent="0.45">
      <c r="A6" t="s">
        <v>9</v>
      </c>
      <c r="B6" t="str">
        <f>IFERROR(INDEX('Bank Statement'!$D$2:$D$101, MATCH(A6, 'Bank Statement'!$B$2:$B$101, 0)), "NOT FOUND")</f>
        <v>Credit</v>
      </c>
      <c r="C6" s="5">
        <f>IFERROR(INDEX('Bank Statement'!$A$2:$A$101, MATCH(A6, 'Bank Statement'!$B$2:$B$101, 0)), "NOT FOUND")</f>
        <v>45792</v>
      </c>
      <c r="D6" t="str">
        <f>IFERROR(INDEX('Bank Statement'!$C$2:$C$101, MATCH(A6, 'Bank Statement'!$B$2:$B$101, 0)), "NOT FOUND")</f>
        <v>Utilities - Electricity Board</v>
      </c>
      <c r="E6" s="3">
        <f>IFERROR(INDEX('Bank Statement'!$E$2:$E$101, MATCH(A6, 'Bank Statement'!$B$2:$B$101, 0)), "NOT FOUND")</f>
        <v>48661.11</v>
      </c>
      <c r="F6" s="5">
        <f>IFERROR(INDEX('Cash Book'!$A$2:$A$101, MATCH(A6, 'Cash Book'!$B$2:$B$101, 0)), "NOT FOUND")</f>
        <v>45792</v>
      </c>
      <c r="G6" t="str">
        <f>IFERROR(INDEX('Cash Book'!$C$2:$C$101, MATCH(A6, 'Cash Book'!$B$2:$B$101, 0)), "NOT FOUND")</f>
        <v>Utilities - Electricity Board</v>
      </c>
      <c r="H6" s="7">
        <f>IFERROR(INDEX('Cash Book'!$E$2:$E$101, MATCH(A6, 'Cash Book'!$B$2:$B$101, 0)), "NOT FOUND")</f>
        <v>48661.11</v>
      </c>
      <c r="I6" t="s">
        <v>133</v>
      </c>
      <c r="J6" t="s">
        <v>135</v>
      </c>
    </row>
    <row r="7" spans="1:10" x14ac:dyDescent="0.45">
      <c r="A7" t="s">
        <v>10</v>
      </c>
      <c r="B7" t="str">
        <f>IFERROR(INDEX('Bank Statement'!$D$2:$D$101, MATCH(A7, 'Bank Statement'!$B$2:$B$101, 0)), "NOT FOUND")</f>
        <v>Credit</v>
      </c>
      <c r="C7" s="5">
        <f>IFERROR(INDEX('Bank Statement'!$A$2:$A$101, MATCH(A7, 'Bank Statement'!$B$2:$B$101, 0)), "NOT FOUND")</f>
        <v>45800</v>
      </c>
      <c r="D7" t="str">
        <f>IFERROR(INDEX('Bank Statement'!$C$2:$C$101, MATCH(A7, 'Bank Statement'!$B$2:$B$101, 0)), "NOT FOUND")</f>
        <v>Direct Credit - Stripe</v>
      </c>
      <c r="E7" s="3">
        <f>IFERROR(INDEX('Bank Statement'!$E$2:$E$101, MATCH(A7, 'Bank Statement'!$B$2:$B$101, 0)), "NOT FOUND")</f>
        <v>20744.91</v>
      </c>
      <c r="F7" s="5">
        <f>IFERROR(INDEX('Cash Book'!$A$2:$A$101, MATCH(A7, 'Cash Book'!$B$2:$B$101, 0)), "NOT FOUND")</f>
        <v>45800</v>
      </c>
      <c r="G7" t="str">
        <f>IFERROR(INDEX('Cash Book'!$C$2:$C$101, MATCH(A7, 'Cash Book'!$B$2:$B$101, 0)), "NOT FOUND")</f>
        <v>Direct Credit - Stripe</v>
      </c>
      <c r="H7" s="7">
        <f>IFERROR(INDEX('Cash Book'!$E$2:$E$101, MATCH(A7, 'Cash Book'!$B$2:$B$101, 0)), "NOT FOUND")</f>
        <v>20744.91</v>
      </c>
      <c r="I7" t="s">
        <v>133</v>
      </c>
      <c r="J7" t="s">
        <v>135</v>
      </c>
    </row>
    <row r="8" spans="1:10" x14ac:dyDescent="0.45">
      <c r="A8" t="s">
        <v>11</v>
      </c>
      <c r="B8" t="str">
        <f>IFERROR(INDEX('Bank Statement'!$D$2:$D$101, MATCH(A8, 'Bank Statement'!$B$2:$B$101, 0)), "NOT FOUND")</f>
        <v>Debit</v>
      </c>
      <c r="C8" s="5">
        <f>IFERROR(INDEX('Bank Statement'!$A$2:$A$101, MATCH(A8, 'Bank Statement'!$B$2:$B$101, 0)), "NOT FOUND")</f>
        <v>45808</v>
      </c>
      <c r="D8" t="str">
        <f>IFERROR(INDEX('Bank Statement'!$C$2:$C$101, MATCH(A8, 'Bank Statement'!$B$2:$B$101, 0)), "NOT FOUND")</f>
        <v>Payment to Revanta Designs</v>
      </c>
      <c r="E8" s="3">
        <f>IFERROR(INDEX('Bank Statement'!$E$2:$E$101, MATCH(A8, 'Bank Statement'!$B$2:$B$101, 0)), "NOT FOUND")</f>
        <v>6581.51</v>
      </c>
      <c r="F8" s="5">
        <f>IFERROR(INDEX('Cash Book'!$A$2:$A$101, MATCH(A8, 'Cash Book'!$B$2:$B$101, 0)), "NOT FOUND")</f>
        <v>45808</v>
      </c>
      <c r="G8" t="str">
        <f>IFERROR(INDEX('Cash Book'!$C$2:$C$101, MATCH(A8, 'Cash Book'!$B$2:$B$101, 0)), "NOT FOUND")</f>
        <v>Payment to Revanta Designs</v>
      </c>
      <c r="H8" s="7">
        <f>IFERROR(INDEX('Cash Book'!$E$2:$E$101, MATCH(A8, 'Cash Book'!$B$2:$B$101, 0)), "NOT FOUND")</f>
        <v>6581.51</v>
      </c>
      <c r="I8" t="s">
        <v>133</v>
      </c>
      <c r="J8" t="s">
        <v>135</v>
      </c>
    </row>
    <row r="9" spans="1:10" x14ac:dyDescent="0.45">
      <c r="A9" t="s">
        <v>12</v>
      </c>
      <c r="B9" t="str">
        <f>IFERROR(INDEX('Bank Statement'!$D$2:$D$101, MATCH(A9, 'Bank Statement'!$B$2:$B$101, 0)), "NOT FOUND")</f>
        <v>Credit</v>
      </c>
      <c r="C9" s="5">
        <f>IFERROR(INDEX('Bank Statement'!$A$2:$A$101, MATCH(A9, 'Bank Statement'!$B$2:$B$101, 0)), "NOT FOUND")</f>
        <v>45789</v>
      </c>
      <c r="D9" t="str">
        <f>IFERROR(INDEX('Bank Statement'!$C$2:$C$101, MATCH(A9, 'Bank Statement'!$B$2:$B$101, 0)), "NOT FOUND")</f>
        <v>UPI Receipt - Orbiz Solutions</v>
      </c>
      <c r="E9" s="3">
        <f>IFERROR(INDEX('Bank Statement'!$E$2:$E$101, MATCH(A9, 'Bank Statement'!$B$2:$B$101, 0)), "NOT FOUND")</f>
        <v>36421.699999999997</v>
      </c>
      <c r="F9" s="5" t="str">
        <f>IFERROR(INDEX('Cash Book'!$A$2:$A$101, MATCH(A9, 'Cash Book'!$B$2:$B$101, 0)), "NOT FOUND")</f>
        <v>NOT FOUND</v>
      </c>
      <c r="G9" t="str">
        <f>IFERROR(INDEX('Cash Book'!$C$2:$C$101, MATCH(A9, 'Cash Book'!$B$2:$B$101, 0)), "NOT FOUND")</f>
        <v>NOT FOUND</v>
      </c>
      <c r="H9" s="7" t="str">
        <f>IFERROR(INDEX('Cash Book'!$E$2:$E$101, MATCH(A9, 'Cash Book'!$B$2:$B$101, 0)), "NOT FOUND")</f>
        <v>NOT FOUND</v>
      </c>
      <c r="I9" t="s">
        <v>134</v>
      </c>
      <c r="J9" s="8">
        <v>36421.699999999997</v>
      </c>
    </row>
    <row r="10" spans="1:10" x14ac:dyDescent="0.45">
      <c r="A10" t="s">
        <v>13</v>
      </c>
      <c r="B10" t="str">
        <f>IFERROR(INDEX('Bank Statement'!$D$2:$D$101, MATCH(A10, 'Bank Statement'!$B$2:$B$101, 0)), "NOT FOUND")</f>
        <v>Debit</v>
      </c>
      <c r="C10" s="5">
        <f>IFERROR(INDEX('Bank Statement'!$A$2:$A$101, MATCH(A10, 'Bank Statement'!$B$2:$B$101, 0)), "NOT FOUND")</f>
        <v>45792</v>
      </c>
      <c r="D10" t="str">
        <f>IFERROR(INDEX('Bank Statement'!$C$2:$C$101, MATCH(A10, 'Bank Statement'!$B$2:$B$101, 0)), "NOT FOUND")</f>
        <v>Cheque Deposit - Enzine Solutions</v>
      </c>
      <c r="E10" s="3">
        <f>IFERROR(INDEX('Bank Statement'!$E$2:$E$101, MATCH(A10, 'Bank Statement'!$B$2:$B$101, 0)), "NOT FOUND")</f>
        <v>7927.16</v>
      </c>
      <c r="F10" s="5">
        <f>IFERROR(INDEX('Cash Book'!$A$2:$A$101, MATCH(A10, 'Cash Book'!$B$2:$B$101, 0)), "NOT FOUND")</f>
        <v>45792</v>
      </c>
      <c r="G10" t="str">
        <f>IFERROR(INDEX('Cash Book'!$C$2:$C$101, MATCH(A10, 'Cash Book'!$B$2:$B$101, 0)), "NOT FOUND")</f>
        <v>Cheque Deposit - Enzine Solutions</v>
      </c>
      <c r="H10" s="7">
        <f>IFERROR(INDEX('Cash Book'!$E$2:$E$101, MATCH(A10, 'Cash Book'!$B$2:$B$101, 0)), "NOT FOUND")</f>
        <v>7927.16</v>
      </c>
      <c r="I10" t="s">
        <v>133</v>
      </c>
      <c r="J10" t="s">
        <v>135</v>
      </c>
    </row>
    <row r="11" spans="1:10" x14ac:dyDescent="0.45">
      <c r="A11" t="s">
        <v>14</v>
      </c>
      <c r="B11" t="str">
        <f>IFERROR(INDEX('Bank Statement'!$D$2:$D$101, MATCH(A11, 'Bank Statement'!$B$2:$B$101, 0)), "NOT FOUND")</f>
        <v>Debit</v>
      </c>
      <c r="C11" s="5">
        <f>IFERROR(INDEX('Bank Statement'!$A$2:$A$101, MATCH(A11, 'Bank Statement'!$B$2:$B$101, 0)), "NOT FOUND")</f>
        <v>45795</v>
      </c>
      <c r="D11" t="str">
        <f>IFERROR(INDEX('Bank Statement'!$C$2:$C$101, MATCH(A11, 'Bank Statement'!$B$2:$B$101, 0)), "NOT FOUND")</f>
        <v>Hosting - AWS</v>
      </c>
      <c r="E11" s="3">
        <f>IFERROR(INDEX('Bank Statement'!$E$2:$E$101, MATCH(A11, 'Bank Statement'!$B$2:$B$101, 0)), "NOT FOUND")</f>
        <v>49849.58</v>
      </c>
      <c r="F11" s="5" t="str">
        <f>IFERROR(INDEX('Cash Book'!$A$2:$A$101, MATCH(A11, 'Cash Book'!$B$2:$B$101, 0)), "NOT FOUND")</f>
        <v>NOT FOUND</v>
      </c>
      <c r="G11" t="str">
        <f>IFERROR(INDEX('Cash Book'!$C$2:$C$101, MATCH(A11, 'Cash Book'!$B$2:$B$101, 0)), "NOT FOUND")</f>
        <v>NOT FOUND</v>
      </c>
      <c r="H11" s="7" t="str">
        <f>IFERROR(INDEX('Cash Book'!$E$2:$E$101, MATCH(A11, 'Cash Book'!$B$2:$B$101, 0)), "NOT FOUND")</f>
        <v>NOT FOUND</v>
      </c>
      <c r="I11" t="s">
        <v>134</v>
      </c>
      <c r="J11" s="8">
        <v>49849.58</v>
      </c>
    </row>
    <row r="12" spans="1:10" x14ac:dyDescent="0.45">
      <c r="A12" t="s">
        <v>15</v>
      </c>
      <c r="B12" t="str">
        <f>IFERROR(INDEX('Bank Statement'!$D$2:$D$101, MATCH(A12, 'Bank Statement'!$B$2:$B$101, 0)), "NOT FOUND")</f>
        <v>Credit</v>
      </c>
      <c r="C12" s="5">
        <f>IFERROR(INDEX('Bank Statement'!$A$2:$A$101, MATCH(A12, 'Bank Statement'!$B$2:$B$101, 0)), "NOT FOUND")</f>
        <v>45784</v>
      </c>
      <c r="D12" t="str">
        <f>IFERROR(INDEX('Bank Statement'!$C$2:$C$101, MATCH(A12, 'Bank Statement'!$B$2:$B$101, 0)), "NOT FOUND")</f>
        <v>Cheque Deposit - Aria Fintech</v>
      </c>
      <c r="E12" s="3">
        <f>IFERROR(INDEX('Bank Statement'!$E$2:$E$101, MATCH(A12, 'Bank Statement'!$B$2:$B$101, 0)), "NOT FOUND")</f>
        <v>3226.55</v>
      </c>
      <c r="F12" s="5">
        <f>IFERROR(INDEX('Cash Book'!$A$2:$A$101, MATCH(A12, 'Cash Book'!$B$2:$B$101, 0)), "NOT FOUND")</f>
        <v>45784</v>
      </c>
      <c r="G12" t="str">
        <f>IFERROR(INDEX('Cash Book'!$C$2:$C$101, MATCH(A12, 'Cash Book'!$B$2:$B$101, 0)), "NOT FOUND")</f>
        <v>Cheque Deposit - Aria Fintech</v>
      </c>
      <c r="H12" s="7">
        <f>IFERROR(INDEX('Cash Book'!$E$2:$E$101, MATCH(A12, 'Cash Book'!$B$2:$B$101, 0)), "NOT FOUND")</f>
        <v>3226.55</v>
      </c>
      <c r="I12" t="s">
        <v>133</v>
      </c>
      <c r="J12" t="s">
        <v>135</v>
      </c>
    </row>
    <row r="13" spans="1:10" x14ac:dyDescent="0.45">
      <c r="A13" t="s">
        <v>16</v>
      </c>
      <c r="B13" t="str">
        <f>IFERROR(INDEX('Bank Statement'!$D$2:$D$101, MATCH(A13, 'Bank Statement'!$B$2:$B$101, 0)), "NOT FOUND")</f>
        <v>Debit</v>
      </c>
      <c r="C13" s="5">
        <f>IFERROR(INDEX('Bank Statement'!$A$2:$A$101, MATCH(A13, 'Bank Statement'!$B$2:$B$101, 0)), "NOT FOUND")</f>
        <v>45780</v>
      </c>
      <c r="D13" t="str">
        <f>IFERROR(INDEX('Bank Statement'!$C$2:$C$101, MATCH(A13, 'Bank Statement'!$B$2:$B$101, 0)), "NOT FOUND")</f>
        <v>Staff Reimbursement - Travel</v>
      </c>
      <c r="E13" s="3">
        <f>IFERROR(INDEX('Bank Statement'!$E$2:$E$101, MATCH(A13, 'Bank Statement'!$B$2:$B$101, 0)), "NOT FOUND")</f>
        <v>52055.78</v>
      </c>
      <c r="F13" s="5">
        <f>IFERROR(INDEX('Cash Book'!$A$2:$A$101, MATCH(A13, 'Cash Book'!$B$2:$B$101, 0)), "NOT FOUND")</f>
        <v>45780</v>
      </c>
      <c r="G13" t="str">
        <f>IFERROR(INDEX('Cash Book'!$C$2:$C$101, MATCH(A13, 'Cash Book'!$B$2:$B$101, 0)), "NOT FOUND")</f>
        <v>Staff Reimbursement - Travel</v>
      </c>
      <c r="H13" s="7">
        <f>IFERROR(INDEX('Cash Book'!$E$2:$E$101, MATCH(A13, 'Cash Book'!$B$2:$B$101, 0)), "NOT FOUND")</f>
        <v>52055.78</v>
      </c>
      <c r="I13" t="s">
        <v>133</v>
      </c>
      <c r="J13" t="s">
        <v>135</v>
      </c>
    </row>
    <row r="14" spans="1:10" x14ac:dyDescent="0.45">
      <c r="A14" t="s">
        <v>17</v>
      </c>
      <c r="B14" t="str">
        <f>IFERROR(INDEX('Bank Statement'!$D$2:$D$101, MATCH(A14, 'Bank Statement'!$B$2:$B$101, 0)), "NOT FOUND")</f>
        <v>Debit</v>
      </c>
      <c r="C14" s="5">
        <f>IFERROR(INDEX('Bank Statement'!$A$2:$A$101, MATCH(A14, 'Bank Statement'!$B$2:$B$101, 0)), "NOT FOUND")</f>
        <v>45792</v>
      </c>
      <c r="D14" t="str">
        <f>IFERROR(INDEX('Bank Statement'!$C$2:$C$101, MATCH(A14, 'Bank Statement'!$B$2:$B$101, 0)), "NOT FOUND")</f>
        <v>UPI Receipt - Orbiz Solutions</v>
      </c>
      <c r="E14" s="3">
        <f>IFERROR(INDEX('Bank Statement'!$E$2:$E$101, MATCH(A14, 'Bank Statement'!$B$2:$B$101, 0)), "NOT FOUND")</f>
        <v>10177.92</v>
      </c>
      <c r="F14" s="5">
        <f>IFERROR(INDEX('Cash Book'!$A$2:$A$101, MATCH(A14, 'Cash Book'!$B$2:$B$101, 0)), "NOT FOUND")</f>
        <v>45792</v>
      </c>
      <c r="G14" t="str">
        <f>IFERROR(INDEX('Cash Book'!$C$2:$C$101, MATCH(A14, 'Cash Book'!$B$2:$B$101, 0)), "NOT FOUND")</f>
        <v>UPI Receipt - Orbiz Solutions</v>
      </c>
      <c r="H14" s="7">
        <f>IFERROR(INDEX('Cash Book'!$E$2:$E$101, MATCH(A14, 'Cash Book'!$B$2:$B$101, 0)), "NOT FOUND")</f>
        <v>10177.92</v>
      </c>
      <c r="I14" t="s">
        <v>133</v>
      </c>
      <c r="J14" t="s">
        <v>135</v>
      </c>
    </row>
    <row r="15" spans="1:10" x14ac:dyDescent="0.45">
      <c r="A15" t="s">
        <v>18</v>
      </c>
      <c r="B15" t="str">
        <f>IFERROR(INDEX('Bank Statement'!$D$2:$D$101, MATCH(A15, 'Bank Statement'!$B$2:$B$101, 0)), "NOT FOUND")</f>
        <v>Credit</v>
      </c>
      <c r="C15" s="5">
        <f>IFERROR(INDEX('Bank Statement'!$A$2:$A$101, MATCH(A15, 'Bank Statement'!$B$2:$B$101, 0)), "NOT FOUND")</f>
        <v>45799</v>
      </c>
      <c r="D15" t="str">
        <f>IFERROR(INDEX('Bank Statement'!$C$2:$C$101, MATCH(A15, 'Bank Statement'!$B$2:$B$101, 0)), "NOT FOUND")</f>
        <v>Utilities - Electricity Board</v>
      </c>
      <c r="E15" s="3">
        <f>IFERROR(INDEX('Bank Statement'!$E$2:$E$101, MATCH(A15, 'Bank Statement'!$B$2:$B$101, 0)), "NOT FOUND")</f>
        <v>42258.31</v>
      </c>
      <c r="F15" s="5" t="str">
        <f>IFERROR(INDEX('Cash Book'!$A$2:$A$101, MATCH(A15, 'Cash Book'!$B$2:$B$101, 0)), "NOT FOUND")</f>
        <v>NOT FOUND</v>
      </c>
      <c r="G15" t="str">
        <f>IFERROR(INDEX('Cash Book'!$C$2:$C$101, MATCH(A15, 'Cash Book'!$B$2:$B$101, 0)), "NOT FOUND")</f>
        <v>NOT FOUND</v>
      </c>
      <c r="H15" s="7" t="str">
        <f>IFERROR(INDEX('Cash Book'!$E$2:$E$101, MATCH(A15, 'Cash Book'!$B$2:$B$101, 0)), "NOT FOUND")</f>
        <v>NOT FOUND</v>
      </c>
      <c r="I15" t="s">
        <v>134</v>
      </c>
      <c r="J15" s="8">
        <v>42258.31</v>
      </c>
    </row>
    <row r="16" spans="1:10" x14ac:dyDescent="0.45">
      <c r="A16" t="s">
        <v>19</v>
      </c>
      <c r="B16" t="str">
        <f>IFERROR(INDEX('Bank Statement'!$D$2:$D$101, MATCH(A16, 'Bank Statement'!$B$2:$B$101, 0)), "NOT FOUND")</f>
        <v>Credit</v>
      </c>
      <c r="C16" s="5">
        <f>IFERROR(INDEX('Bank Statement'!$A$2:$A$101, MATCH(A16, 'Bank Statement'!$B$2:$B$101, 0)), "NOT FOUND")</f>
        <v>45798</v>
      </c>
      <c r="D16" t="str">
        <f>IFERROR(INDEX('Bank Statement'!$C$2:$C$101, MATCH(A16, 'Bank Statement'!$B$2:$B$101, 0)), "NOT FOUND")</f>
        <v>Internet Charges - Airtel</v>
      </c>
      <c r="E16" s="3">
        <f>IFERROR(INDEX('Bank Statement'!$E$2:$E$101, MATCH(A16, 'Bank Statement'!$B$2:$B$101, 0)), "NOT FOUND")</f>
        <v>32281.32</v>
      </c>
      <c r="F16" s="5">
        <f>IFERROR(INDEX('Cash Book'!$A$2:$A$101, MATCH(A16, 'Cash Book'!$B$2:$B$101, 0)), "NOT FOUND")</f>
        <v>45798</v>
      </c>
      <c r="G16" t="str">
        <f>IFERROR(INDEX('Cash Book'!$C$2:$C$101, MATCH(A16, 'Cash Book'!$B$2:$B$101, 0)), "NOT FOUND")</f>
        <v>Internet Charges - Airtel</v>
      </c>
      <c r="H16" s="7">
        <f>IFERROR(INDEX('Cash Book'!$E$2:$E$101, MATCH(A16, 'Cash Book'!$B$2:$B$101, 0)), "NOT FOUND")</f>
        <v>32281.32</v>
      </c>
      <c r="I16" t="s">
        <v>133</v>
      </c>
      <c r="J16" t="s">
        <v>135</v>
      </c>
    </row>
    <row r="17" spans="1:10" x14ac:dyDescent="0.45">
      <c r="A17" t="s">
        <v>20</v>
      </c>
      <c r="B17" t="str">
        <f>IFERROR(INDEX('Bank Statement'!$D$2:$D$101, MATCH(A17, 'Bank Statement'!$B$2:$B$101, 0)), "NOT FOUND")</f>
        <v>Credit</v>
      </c>
      <c r="C17" s="5">
        <f>IFERROR(INDEX('Bank Statement'!$A$2:$A$101, MATCH(A17, 'Bank Statement'!$B$2:$B$101, 0)), "NOT FOUND")</f>
        <v>45792</v>
      </c>
      <c r="D17" t="str">
        <f>IFERROR(INDEX('Bank Statement'!$C$2:$C$101, MATCH(A17, 'Bank Statement'!$B$2:$B$101, 0)), "NOT FOUND")</f>
        <v>Cheque Deposit - QuickFix Services</v>
      </c>
      <c r="E17" s="3">
        <f>IFERROR(INDEX('Bank Statement'!$E$2:$E$101, MATCH(A17, 'Bank Statement'!$B$2:$B$101, 0)), "NOT FOUND")</f>
        <v>16561.900000000001</v>
      </c>
      <c r="F17" s="5" t="str">
        <f>IFERROR(INDEX('Cash Book'!$A$2:$A$101, MATCH(A17, 'Cash Book'!$B$2:$B$101, 0)), "NOT FOUND")</f>
        <v>NOT FOUND</v>
      </c>
      <c r="G17" t="str">
        <f>IFERROR(INDEX('Cash Book'!$C$2:$C$101, MATCH(A17, 'Cash Book'!$B$2:$B$101, 0)), "NOT FOUND")</f>
        <v>NOT FOUND</v>
      </c>
      <c r="H17" s="7" t="str">
        <f>IFERROR(INDEX('Cash Book'!$E$2:$E$101, MATCH(A17, 'Cash Book'!$B$2:$B$101, 0)), "NOT FOUND")</f>
        <v>NOT FOUND</v>
      </c>
      <c r="I17" t="s">
        <v>134</v>
      </c>
      <c r="J17" s="8">
        <v>16561.900000000001</v>
      </c>
    </row>
    <row r="18" spans="1:10" x14ac:dyDescent="0.45">
      <c r="A18" t="s">
        <v>21</v>
      </c>
      <c r="B18" t="str">
        <f>IFERROR(INDEX('Bank Statement'!$D$2:$D$101, MATCH(A18, 'Bank Statement'!$B$2:$B$101, 0)), "NOT FOUND")</f>
        <v>Credit</v>
      </c>
      <c r="C18" s="5">
        <f>IFERROR(INDEX('Bank Statement'!$A$2:$A$101, MATCH(A18, 'Bank Statement'!$B$2:$B$101, 0)), "NOT FOUND")</f>
        <v>45788</v>
      </c>
      <c r="D18" t="str">
        <f>IFERROR(INDEX('Bank Statement'!$C$2:$C$101, MATCH(A18, 'Bank Statement'!$B$2:$B$101, 0)), "NOT FOUND")</f>
        <v>NEFT from NetEdge Systems</v>
      </c>
      <c r="E18" s="3">
        <f>IFERROR(INDEX('Bank Statement'!$E$2:$E$101, MATCH(A18, 'Bank Statement'!$B$2:$B$101, 0)), "NOT FOUND")</f>
        <v>14128.36</v>
      </c>
      <c r="F18" s="5">
        <f>IFERROR(INDEX('Cash Book'!$A$2:$A$101, MATCH(A18, 'Cash Book'!$B$2:$B$101, 0)), "NOT FOUND")</f>
        <v>45788</v>
      </c>
      <c r="G18" t="str">
        <f>IFERROR(INDEX('Cash Book'!$C$2:$C$101, MATCH(A18, 'Cash Book'!$B$2:$B$101, 0)), "NOT FOUND")</f>
        <v>NEFT from NetEdge Systems</v>
      </c>
      <c r="H18" s="7">
        <f>IFERROR(INDEX('Cash Book'!$E$2:$E$101, MATCH(A18, 'Cash Book'!$B$2:$B$101, 0)), "NOT FOUND")</f>
        <v>14128.36</v>
      </c>
      <c r="I18" t="s">
        <v>133</v>
      </c>
      <c r="J18" t="s">
        <v>135</v>
      </c>
    </row>
    <row r="19" spans="1:10" x14ac:dyDescent="0.45">
      <c r="A19" t="s">
        <v>22</v>
      </c>
      <c r="B19" t="str">
        <f>IFERROR(INDEX('Bank Statement'!$D$2:$D$101, MATCH(A19, 'Bank Statement'!$B$2:$B$101, 0)), "NOT FOUND")</f>
        <v>Debit</v>
      </c>
      <c r="C19" s="5">
        <f>IFERROR(INDEX('Bank Statement'!$A$2:$A$101, MATCH(A19, 'Bank Statement'!$B$2:$B$101, 0)), "NOT FOUND")</f>
        <v>45790</v>
      </c>
      <c r="D19" t="str">
        <f>IFERROR(INDEX('Bank Statement'!$C$2:$C$101, MATCH(A19, 'Bank Statement'!$B$2:$B$101, 0)), "NOT FOUND")</f>
        <v>Utilities - Electricity Board</v>
      </c>
      <c r="E19" s="3">
        <f>IFERROR(INDEX('Bank Statement'!$E$2:$E$101, MATCH(A19, 'Bank Statement'!$B$2:$B$101, 0)), "NOT FOUND")</f>
        <v>4438.22</v>
      </c>
      <c r="F19" s="5">
        <f>IFERROR(INDEX('Cash Book'!$A$2:$A$101, MATCH(A19, 'Cash Book'!$B$2:$B$101, 0)), "NOT FOUND")</f>
        <v>45790</v>
      </c>
      <c r="G19" t="str">
        <f>IFERROR(INDEX('Cash Book'!$C$2:$C$101, MATCH(A19, 'Cash Book'!$B$2:$B$101, 0)), "NOT FOUND")</f>
        <v>Utilities - Electricity Board</v>
      </c>
      <c r="H19" s="7">
        <f>IFERROR(INDEX('Cash Book'!$E$2:$E$101, MATCH(A19, 'Cash Book'!$B$2:$B$101, 0)), "NOT FOUND")</f>
        <v>4438.22</v>
      </c>
      <c r="I19" t="s">
        <v>133</v>
      </c>
      <c r="J19" t="s">
        <v>135</v>
      </c>
    </row>
    <row r="20" spans="1:10" x14ac:dyDescent="0.45">
      <c r="A20" t="s">
        <v>23</v>
      </c>
      <c r="B20" t="str">
        <f>IFERROR(INDEX('Bank Statement'!$D$2:$D$101, MATCH(A20, 'Bank Statement'!$B$2:$B$101, 0)), "NOT FOUND")</f>
        <v>Debit</v>
      </c>
      <c r="C20" s="5">
        <f>IFERROR(INDEX('Bank Statement'!$A$2:$A$101, MATCH(A20, 'Bank Statement'!$B$2:$B$101, 0)), "NOT FOUND")</f>
        <v>45798</v>
      </c>
      <c r="D20" t="str">
        <f>IFERROR(INDEX('Bank Statement'!$C$2:$C$101, MATCH(A20, 'Bank Statement'!$B$2:$B$101, 0)), "NOT FOUND")</f>
        <v>Refund - ZephyrTech</v>
      </c>
      <c r="E20" s="3">
        <f>IFERROR(INDEX('Bank Statement'!$E$2:$E$101, MATCH(A20, 'Bank Statement'!$B$2:$B$101, 0)), "NOT FOUND")</f>
        <v>24040.1</v>
      </c>
      <c r="F20" s="5">
        <f>IFERROR(INDEX('Cash Book'!$A$2:$A$101, MATCH(A20, 'Cash Book'!$B$2:$B$101, 0)), "NOT FOUND")</f>
        <v>45798</v>
      </c>
      <c r="G20" t="str">
        <f>IFERROR(INDEX('Cash Book'!$C$2:$C$101, MATCH(A20, 'Cash Book'!$B$2:$B$101, 0)), "NOT FOUND")</f>
        <v>Refund - ZephyrTech</v>
      </c>
      <c r="H20" s="7">
        <f>IFERROR(INDEX('Cash Book'!$E$2:$E$101, MATCH(A20, 'Cash Book'!$B$2:$B$101, 0)), "NOT FOUND")</f>
        <v>24040.1</v>
      </c>
      <c r="I20" t="s">
        <v>133</v>
      </c>
      <c r="J20" t="s">
        <v>135</v>
      </c>
    </row>
    <row r="21" spans="1:10" x14ac:dyDescent="0.45">
      <c r="A21" t="s">
        <v>24</v>
      </c>
      <c r="B21" t="str">
        <f>IFERROR(INDEX('Bank Statement'!$D$2:$D$101, MATCH(A21, 'Bank Statement'!$B$2:$B$101, 0)), "NOT FOUND")</f>
        <v>Debit</v>
      </c>
      <c r="C21" s="5">
        <f>IFERROR(INDEX('Bank Statement'!$A$2:$A$101, MATCH(A21, 'Bank Statement'!$B$2:$B$101, 0)), "NOT FOUND")</f>
        <v>45786</v>
      </c>
      <c r="D21" t="str">
        <f>IFERROR(INDEX('Bank Statement'!$C$2:$C$101, MATCH(A21, 'Bank Statement'!$B$2:$B$101, 0)), "NOT FOUND")</f>
        <v>Software Subscription - Zoho</v>
      </c>
      <c r="E21" s="3">
        <f>IFERROR(INDEX('Bank Statement'!$E$2:$E$101, MATCH(A21, 'Bank Statement'!$B$2:$B$101, 0)), "NOT FOUND")</f>
        <v>15174.34</v>
      </c>
      <c r="F21" s="5" t="str">
        <f>IFERROR(INDEX('Cash Book'!$A$2:$A$101, MATCH(A21, 'Cash Book'!$B$2:$B$101, 0)), "NOT FOUND")</f>
        <v>NOT FOUND</v>
      </c>
      <c r="G21" t="str">
        <f>IFERROR(INDEX('Cash Book'!$C$2:$C$101, MATCH(A21, 'Cash Book'!$B$2:$B$101, 0)), "NOT FOUND")</f>
        <v>NOT FOUND</v>
      </c>
      <c r="H21" s="7" t="str">
        <f>IFERROR(INDEX('Cash Book'!$E$2:$E$101, MATCH(A21, 'Cash Book'!$B$2:$B$101, 0)), "NOT FOUND")</f>
        <v>NOT FOUND</v>
      </c>
      <c r="I21" t="s">
        <v>134</v>
      </c>
      <c r="J21" s="8">
        <v>15174.34</v>
      </c>
    </row>
    <row r="22" spans="1:10" x14ac:dyDescent="0.45">
      <c r="A22" t="s">
        <v>25</v>
      </c>
      <c r="B22" t="str">
        <f>IFERROR(INDEX('Bank Statement'!$D$2:$D$101, MATCH(A22, 'Bank Statement'!$B$2:$B$101, 0)), "NOT FOUND")</f>
        <v>Debit</v>
      </c>
      <c r="C22" s="5">
        <f>IFERROR(INDEX('Bank Statement'!$A$2:$A$101, MATCH(A22, 'Bank Statement'!$B$2:$B$101, 0)), "NOT FOUND")</f>
        <v>45796</v>
      </c>
      <c r="D22" t="str">
        <f>IFERROR(INDEX('Bank Statement'!$C$2:$C$101, MATCH(A22, 'Bank Statement'!$B$2:$B$101, 0)), "NOT FOUND")</f>
        <v>Direct Credit - Stripe</v>
      </c>
      <c r="E22" s="3">
        <f>IFERROR(INDEX('Bank Statement'!$E$2:$E$101, MATCH(A22, 'Bank Statement'!$B$2:$B$101, 0)), "NOT FOUND")</f>
        <v>53920.46</v>
      </c>
      <c r="F22" s="5">
        <f>IFERROR(INDEX('Cash Book'!$A$2:$A$101, MATCH(A22, 'Cash Book'!$B$2:$B$101, 0)), "NOT FOUND")</f>
        <v>45796</v>
      </c>
      <c r="G22" t="str">
        <f>IFERROR(INDEX('Cash Book'!$C$2:$C$101, MATCH(A22, 'Cash Book'!$B$2:$B$101, 0)), "NOT FOUND")</f>
        <v>Direct Credit - Stripe</v>
      </c>
      <c r="H22" s="7">
        <f>IFERROR(INDEX('Cash Book'!$E$2:$E$101, MATCH(A22, 'Cash Book'!$B$2:$B$101, 0)), "NOT FOUND")</f>
        <v>53920.46</v>
      </c>
      <c r="I22" t="s">
        <v>133</v>
      </c>
      <c r="J22" t="s">
        <v>135</v>
      </c>
    </row>
    <row r="23" spans="1:10" x14ac:dyDescent="0.45">
      <c r="A23" t="s">
        <v>26</v>
      </c>
      <c r="B23" t="str">
        <f>IFERROR(INDEX('Bank Statement'!$D$2:$D$101, MATCH(A23, 'Bank Statement'!$B$2:$B$101, 0)), "NOT FOUND")</f>
        <v>Credit</v>
      </c>
      <c r="C23" s="5">
        <f>IFERROR(INDEX('Bank Statement'!$A$2:$A$101, MATCH(A23, 'Bank Statement'!$B$2:$B$101, 0)), "NOT FOUND")</f>
        <v>45785</v>
      </c>
      <c r="D23" t="str">
        <f>IFERROR(INDEX('Bank Statement'!$C$2:$C$101, MATCH(A23, 'Bank Statement'!$B$2:$B$101, 0)), "NOT FOUND")</f>
        <v>Software Subscription - Zoho</v>
      </c>
      <c r="E23" s="3">
        <f>IFERROR(INDEX('Bank Statement'!$E$2:$E$101, MATCH(A23, 'Bank Statement'!$B$2:$B$101, 0)), "NOT FOUND")</f>
        <v>30816.81</v>
      </c>
      <c r="F23" s="5">
        <f>IFERROR(INDEX('Cash Book'!$A$2:$A$101, MATCH(A23, 'Cash Book'!$B$2:$B$101, 0)), "NOT FOUND")</f>
        <v>45785</v>
      </c>
      <c r="G23" t="str">
        <f>IFERROR(INDEX('Cash Book'!$C$2:$C$101, MATCH(A23, 'Cash Book'!$B$2:$B$101, 0)), "NOT FOUND")</f>
        <v>Software Subscription - Zoho</v>
      </c>
      <c r="H23" s="7">
        <f>IFERROR(INDEX('Cash Book'!$E$2:$E$101, MATCH(A23, 'Cash Book'!$B$2:$B$101, 0)), "NOT FOUND")</f>
        <v>30816.81</v>
      </c>
      <c r="I23" t="s">
        <v>133</v>
      </c>
      <c r="J23" t="s">
        <v>135</v>
      </c>
    </row>
    <row r="24" spans="1:10" x14ac:dyDescent="0.45">
      <c r="A24" t="s">
        <v>27</v>
      </c>
      <c r="B24" t="str">
        <f>IFERROR(INDEX('Bank Statement'!$D$2:$D$101, MATCH(A24, 'Bank Statement'!$B$2:$B$101, 0)), "NOT FOUND")</f>
        <v>Credit</v>
      </c>
      <c r="C24" s="5">
        <f>IFERROR(INDEX('Bank Statement'!$A$2:$A$101, MATCH(A24, 'Bank Statement'!$B$2:$B$101, 0)), "NOT FOUND")</f>
        <v>45805</v>
      </c>
      <c r="D24" t="str">
        <f>IFERROR(INDEX('Bank Statement'!$C$2:$C$101, MATCH(A24, 'Bank Statement'!$B$2:$B$101, 0)), "NOT FOUND")</f>
        <v>Vendor Payment - Printica</v>
      </c>
      <c r="E24" s="3">
        <f>IFERROR(INDEX('Bank Statement'!$E$2:$E$101, MATCH(A24, 'Bank Statement'!$B$2:$B$101, 0)), "NOT FOUND")</f>
        <v>9594.06</v>
      </c>
      <c r="F24" s="5" t="str">
        <f>IFERROR(INDEX('Cash Book'!$A$2:$A$101, MATCH(A24, 'Cash Book'!$B$2:$B$101, 0)), "NOT FOUND")</f>
        <v>NOT FOUND</v>
      </c>
      <c r="G24" t="str">
        <f>IFERROR(INDEX('Cash Book'!$C$2:$C$101, MATCH(A24, 'Cash Book'!$B$2:$B$101, 0)), "NOT FOUND")</f>
        <v>NOT FOUND</v>
      </c>
      <c r="H24" s="7" t="str">
        <f>IFERROR(INDEX('Cash Book'!$E$2:$E$101, MATCH(A24, 'Cash Book'!$B$2:$B$101, 0)), "NOT FOUND")</f>
        <v>NOT FOUND</v>
      </c>
      <c r="I24" t="s">
        <v>134</v>
      </c>
      <c r="J24" s="8">
        <v>9594.06</v>
      </c>
    </row>
    <row r="25" spans="1:10" x14ac:dyDescent="0.45">
      <c r="A25" t="s">
        <v>28</v>
      </c>
      <c r="B25" t="str">
        <f>IFERROR(INDEX('Bank Statement'!$D$2:$D$101, MATCH(A25, 'Bank Statement'!$B$2:$B$101, 0)), "NOT FOUND")</f>
        <v>Debit</v>
      </c>
      <c r="C25" s="5">
        <f>IFERROR(INDEX('Bank Statement'!$A$2:$A$101, MATCH(A25, 'Bank Statement'!$B$2:$B$101, 0)), "NOT FOUND")</f>
        <v>45791</v>
      </c>
      <c r="D25" t="str">
        <f>IFERROR(INDEX('Bank Statement'!$C$2:$C$101, MATCH(A25, 'Bank Statement'!$B$2:$B$101, 0)), "NOT FOUND")</f>
        <v>Cheque Deposit - Aria Fintech</v>
      </c>
      <c r="E25" s="3">
        <f>IFERROR(INDEX('Bank Statement'!$E$2:$E$101, MATCH(A25, 'Bank Statement'!$B$2:$B$101, 0)), "NOT FOUND")</f>
        <v>23393.66</v>
      </c>
      <c r="F25" s="5" t="str">
        <f>IFERROR(INDEX('Cash Book'!$A$2:$A$101, MATCH(A25, 'Cash Book'!$B$2:$B$101, 0)), "NOT FOUND")</f>
        <v>NOT FOUND</v>
      </c>
      <c r="G25" t="str">
        <f>IFERROR(INDEX('Cash Book'!$C$2:$C$101, MATCH(A25, 'Cash Book'!$B$2:$B$101, 0)), "NOT FOUND")</f>
        <v>NOT FOUND</v>
      </c>
      <c r="H25" s="7" t="str">
        <f>IFERROR(INDEX('Cash Book'!$E$2:$E$101, MATCH(A25, 'Cash Book'!$B$2:$B$101, 0)), "NOT FOUND")</f>
        <v>NOT FOUND</v>
      </c>
      <c r="I25" t="s">
        <v>134</v>
      </c>
      <c r="J25" s="8">
        <v>23393.66</v>
      </c>
    </row>
    <row r="26" spans="1:10" x14ac:dyDescent="0.45">
      <c r="A26" t="s">
        <v>29</v>
      </c>
      <c r="B26" t="str">
        <f>IFERROR(INDEX('Bank Statement'!$D$2:$D$101, MATCH(A26, 'Bank Statement'!$B$2:$B$101, 0)), "NOT FOUND")</f>
        <v>Credit</v>
      </c>
      <c r="C26" s="5">
        <f>IFERROR(INDEX('Bank Statement'!$A$2:$A$101, MATCH(A26, 'Bank Statement'!$B$2:$B$101, 0)), "NOT FOUND")</f>
        <v>45786</v>
      </c>
      <c r="D26" t="str">
        <f>IFERROR(INDEX('Bank Statement'!$C$2:$C$101, MATCH(A26, 'Bank Statement'!$B$2:$B$101, 0)), "NOT FOUND")</f>
        <v>Cheque Deposit - Enzine Solutions</v>
      </c>
      <c r="E26" s="3">
        <f>IFERROR(INDEX('Bank Statement'!$E$2:$E$101, MATCH(A26, 'Bank Statement'!$B$2:$B$101, 0)), "NOT FOUND")</f>
        <v>51716.39</v>
      </c>
      <c r="F26" s="5" t="str">
        <f>IFERROR(INDEX('Cash Book'!$A$2:$A$101, MATCH(A26, 'Cash Book'!$B$2:$B$101, 0)), "NOT FOUND")</f>
        <v>NOT FOUND</v>
      </c>
      <c r="G26" t="str">
        <f>IFERROR(INDEX('Cash Book'!$C$2:$C$101, MATCH(A26, 'Cash Book'!$B$2:$B$101, 0)), "NOT FOUND")</f>
        <v>NOT FOUND</v>
      </c>
      <c r="H26" s="7" t="str">
        <f>IFERROR(INDEX('Cash Book'!$E$2:$E$101, MATCH(A26, 'Cash Book'!$B$2:$B$101, 0)), "NOT FOUND")</f>
        <v>NOT FOUND</v>
      </c>
      <c r="I26" t="s">
        <v>134</v>
      </c>
      <c r="J26" s="8">
        <v>51716.39</v>
      </c>
    </row>
    <row r="27" spans="1:10" x14ac:dyDescent="0.45">
      <c r="A27" t="s">
        <v>30</v>
      </c>
      <c r="B27" t="str">
        <f>IFERROR(INDEX('Bank Statement'!$D$2:$D$101, MATCH(A27, 'Bank Statement'!$B$2:$B$101, 0)), "NOT FOUND")</f>
        <v>Debit</v>
      </c>
      <c r="C27" s="5">
        <f>IFERROR(INDEX('Bank Statement'!$A$2:$A$101, MATCH(A27, 'Bank Statement'!$B$2:$B$101, 0)), "NOT FOUND")</f>
        <v>45801</v>
      </c>
      <c r="D27" t="str">
        <f>IFERROR(INDEX('Bank Statement'!$C$2:$C$101, MATCH(A27, 'Bank Statement'!$B$2:$B$101, 0)), "NOT FOUND")</f>
        <v>Vendor Payment - Printica</v>
      </c>
      <c r="E27" s="3">
        <f>IFERROR(INDEX('Bank Statement'!$E$2:$E$101, MATCH(A27, 'Bank Statement'!$B$2:$B$101, 0)), "NOT FOUND")</f>
        <v>41061.769999999997</v>
      </c>
      <c r="F27" s="5" t="str">
        <f>IFERROR(INDEX('Cash Book'!$A$2:$A$101, MATCH(A27, 'Cash Book'!$B$2:$B$101, 0)), "NOT FOUND")</f>
        <v>NOT FOUND</v>
      </c>
      <c r="G27" t="str">
        <f>IFERROR(INDEX('Cash Book'!$C$2:$C$101, MATCH(A27, 'Cash Book'!$B$2:$B$101, 0)), "NOT FOUND")</f>
        <v>NOT FOUND</v>
      </c>
      <c r="H27" s="7" t="str">
        <f>IFERROR(INDEX('Cash Book'!$E$2:$E$101, MATCH(A27, 'Cash Book'!$B$2:$B$101, 0)), "NOT FOUND")</f>
        <v>NOT FOUND</v>
      </c>
      <c r="I27" t="s">
        <v>134</v>
      </c>
      <c r="J27" s="8">
        <v>41061.769999999997</v>
      </c>
    </row>
    <row r="28" spans="1:10" x14ac:dyDescent="0.45">
      <c r="A28" t="s">
        <v>31</v>
      </c>
      <c r="B28" t="str">
        <f>IFERROR(INDEX('Bank Statement'!$D$2:$D$101, MATCH(A28, 'Bank Statement'!$B$2:$B$101, 0)), "NOT FOUND")</f>
        <v>Credit</v>
      </c>
      <c r="C28" s="5">
        <f>IFERROR(INDEX('Bank Statement'!$A$2:$A$101, MATCH(A28, 'Bank Statement'!$B$2:$B$101, 0)), "NOT FOUND")</f>
        <v>45788</v>
      </c>
      <c r="D28" t="str">
        <f>IFERROR(INDEX('Bank Statement'!$C$2:$C$101, MATCH(A28, 'Bank Statement'!$B$2:$B$101, 0)), "NOT FOUND")</f>
        <v>Vendor Payment - Printica</v>
      </c>
      <c r="E28" s="3">
        <f>IFERROR(INDEX('Bank Statement'!$E$2:$E$101, MATCH(A28, 'Bank Statement'!$B$2:$B$101, 0)), "NOT FOUND")</f>
        <v>17963.259999999998</v>
      </c>
      <c r="F28" s="5">
        <f>IFERROR(INDEX('Cash Book'!$A$2:$A$101, MATCH(A28, 'Cash Book'!$B$2:$B$101, 0)), "NOT FOUND")</f>
        <v>45788</v>
      </c>
      <c r="G28" t="str">
        <f>IFERROR(INDEX('Cash Book'!$C$2:$C$101, MATCH(A28, 'Cash Book'!$B$2:$B$101, 0)), "NOT FOUND")</f>
        <v>Vendor Payment - Printica</v>
      </c>
      <c r="H28" s="7">
        <f>IFERROR(INDEX('Cash Book'!$E$2:$E$101, MATCH(A28, 'Cash Book'!$B$2:$B$101, 0)), "NOT FOUND")</f>
        <v>17963.259999999998</v>
      </c>
      <c r="I28" t="s">
        <v>133</v>
      </c>
      <c r="J28" t="s">
        <v>135</v>
      </c>
    </row>
    <row r="29" spans="1:10" x14ac:dyDescent="0.45">
      <c r="A29" t="s">
        <v>32</v>
      </c>
      <c r="B29" t="str">
        <f>IFERROR(INDEX('Bank Statement'!$D$2:$D$101, MATCH(A29, 'Bank Statement'!$B$2:$B$101, 0)), "NOT FOUND")</f>
        <v>Credit</v>
      </c>
      <c r="C29" s="5">
        <f>IFERROR(INDEX('Bank Statement'!$A$2:$A$101, MATCH(A29, 'Bank Statement'!$B$2:$B$101, 0)), "NOT FOUND")</f>
        <v>45778</v>
      </c>
      <c r="D29" t="str">
        <f>IFERROR(INDEX('Bank Statement'!$C$2:$C$101, MATCH(A29, 'Bank Statement'!$B$2:$B$101, 0)), "NOT FOUND")</f>
        <v>Utilities - Electricity Board</v>
      </c>
      <c r="E29" s="3">
        <f>IFERROR(INDEX('Bank Statement'!$E$2:$E$101, MATCH(A29, 'Bank Statement'!$B$2:$B$101, 0)), "NOT FOUND")</f>
        <v>58327.34</v>
      </c>
      <c r="F29" s="5" t="str">
        <f>IFERROR(INDEX('Cash Book'!$A$2:$A$101, MATCH(A29, 'Cash Book'!$B$2:$B$101, 0)), "NOT FOUND")</f>
        <v>NOT FOUND</v>
      </c>
      <c r="G29" t="str">
        <f>IFERROR(INDEX('Cash Book'!$C$2:$C$101, MATCH(A29, 'Cash Book'!$B$2:$B$101, 0)), "NOT FOUND")</f>
        <v>NOT FOUND</v>
      </c>
      <c r="H29" s="7" t="str">
        <f>IFERROR(INDEX('Cash Book'!$E$2:$E$101, MATCH(A29, 'Cash Book'!$B$2:$B$101, 0)), "NOT FOUND")</f>
        <v>NOT FOUND</v>
      </c>
      <c r="I29" t="s">
        <v>134</v>
      </c>
      <c r="J29" s="8">
        <v>58327.34</v>
      </c>
    </row>
    <row r="30" spans="1:10" x14ac:dyDescent="0.45">
      <c r="A30" t="s">
        <v>33</v>
      </c>
      <c r="B30" t="str">
        <f>IFERROR(INDEX('Bank Statement'!$D$2:$D$101, MATCH(A30, 'Bank Statement'!$B$2:$B$101, 0)), "NOT FOUND")</f>
        <v>Debit</v>
      </c>
      <c r="C30" s="5">
        <f>IFERROR(INDEX('Bank Statement'!$A$2:$A$101, MATCH(A30, 'Bank Statement'!$B$2:$B$101, 0)), "NOT FOUND")</f>
        <v>45807</v>
      </c>
      <c r="D30" t="str">
        <f>IFERROR(INDEX('Bank Statement'!$C$2:$C$101, MATCH(A30, 'Bank Statement'!$B$2:$B$101, 0)), "NOT FOUND")</f>
        <v>Vendor Payment - Printica</v>
      </c>
      <c r="E30" s="3">
        <f>IFERROR(INDEX('Bank Statement'!$E$2:$E$101, MATCH(A30, 'Bank Statement'!$B$2:$B$101, 0)), "NOT FOUND")</f>
        <v>52295.85</v>
      </c>
      <c r="F30" s="5" t="str">
        <f>IFERROR(INDEX('Cash Book'!$A$2:$A$101, MATCH(A30, 'Cash Book'!$B$2:$B$101, 0)), "NOT FOUND")</f>
        <v>NOT FOUND</v>
      </c>
      <c r="G30" t="str">
        <f>IFERROR(INDEX('Cash Book'!$C$2:$C$101, MATCH(A30, 'Cash Book'!$B$2:$B$101, 0)), "NOT FOUND")</f>
        <v>NOT FOUND</v>
      </c>
      <c r="H30" s="7" t="str">
        <f>IFERROR(INDEX('Cash Book'!$E$2:$E$101, MATCH(A30, 'Cash Book'!$B$2:$B$101, 0)), "NOT FOUND")</f>
        <v>NOT FOUND</v>
      </c>
      <c r="I30" t="s">
        <v>134</v>
      </c>
      <c r="J30" s="8">
        <v>52295.85</v>
      </c>
    </row>
    <row r="31" spans="1:10" x14ac:dyDescent="0.45">
      <c r="A31" t="s">
        <v>34</v>
      </c>
      <c r="B31" t="str">
        <f>IFERROR(INDEX('Bank Statement'!$D$2:$D$101, MATCH(A31, 'Bank Statement'!$B$2:$B$101, 0)), "NOT FOUND")</f>
        <v>Credit</v>
      </c>
      <c r="C31" s="5">
        <f>IFERROR(INDEX('Bank Statement'!$A$2:$A$101, MATCH(A31, 'Bank Statement'!$B$2:$B$101, 0)), "NOT FOUND")</f>
        <v>45794</v>
      </c>
      <c r="D31" t="str">
        <f>IFERROR(INDEX('Bank Statement'!$C$2:$C$101, MATCH(A31, 'Bank Statement'!$B$2:$B$101, 0)), "NOT FOUND")</f>
        <v>Bank Charges - ICICI</v>
      </c>
      <c r="E31" s="3">
        <f>IFERROR(INDEX('Bank Statement'!$E$2:$E$101, MATCH(A31, 'Bank Statement'!$B$2:$B$101, 0)), "NOT FOUND")</f>
        <v>9593.94</v>
      </c>
      <c r="F31" s="5" t="str">
        <f>IFERROR(INDEX('Cash Book'!$A$2:$A$101, MATCH(A31, 'Cash Book'!$B$2:$B$101, 0)), "NOT FOUND")</f>
        <v>NOT FOUND</v>
      </c>
      <c r="G31" t="str">
        <f>IFERROR(INDEX('Cash Book'!$C$2:$C$101, MATCH(A31, 'Cash Book'!$B$2:$B$101, 0)), "NOT FOUND")</f>
        <v>NOT FOUND</v>
      </c>
      <c r="H31" s="7" t="str">
        <f>IFERROR(INDEX('Cash Book'!$E$2:$E$101, MATCH(A31, 'Cash Book'!$B$2:$B$101, 0)), "NOT FOUND")</f>
        <v>NOT FOUND</v>
      </c>
      <c r="I31" t="s">
        <v>134</v>
      </c>
      <c r="J31" s="8">
        <v>9593.94</v>
      </c>
    </row>
    <row r="32" spans="1:10" x14ac:dyDescent="0.45">
      <c r="A32" t="s">
        <v>35</v>
      </c>
      <c r="B32" t="str">
        <f>IFERROR(INDEX('Bank Statement'!$D$2:$D$101, MATCH(A32, 'Bank Statement'!$B$2:$B$101, 0)), "NOT FOUND")</f>
        <v>Debit</v>
      </c>
      <c r="C32" s="5">
        <f>IFERROR(INDEX('Bank Statement'!$A$2:$A$101, MATCH(A32, 'Bank Statement'!$B$2:$B$101, 0)), "NOT FOUND")</f>
        <v>45808</v>
      </c>
      <c r="D32" t="str">
        <f>IFERROR(INDEX('Bank Statement'!$C$2:$C$101, MATCH(A32, 'Bank Statement'!$B$2:$B$101, 0)), "NOT FOUND")</f>
        <v>ATM Withdrawal</v>
      </c>
      <c r="E32" s="3">
        <f>IFERROR(INDEX('Bank Statement'!$E$2:$E$101, MATCH(A32, 'Bank Statement'!$B$2:$B$101, 0)), "NOT FOUND")</f>
        <v>55150.36</v>
      </c>
      <c r="F32" s="5">
        <f>IFERROR(INDEX('Cash Book'!$A$2:$A$101, MATCH(A32, 'Cash Book'!$B$2:$B$101, 0)), "NOT FOUND")</f>
        <v>45808</v>
      </c>
      <c r="G32" t="str">
        <f>IFERROR(INDEX('Cash Book'!$C$2:$C$101, MATCH(A32, 'Cash Book'!$B$2:$B$101, 0)), "NOT FOUND")</f>
        <v>ATM Withdrawal</v>
      </c>
      <c r="H32" s="7">
        <f>IFERROR(INDEX('Cash Book'!$E$2:$E$101, MATCH(A32, 'Cash Book'!$B$2:$B$101, 0)), "NOT FOUND")</f>
        <v>55150.36</v>
      </c>
      <c r="I32" t="s">
        <v>133</v>
      </c>
      <c r="J32" t="s">
        <v>135</v>
      </c>
    </row>
    <row r="33" spans="1:10" x14ac:dyDescent="0.45">
      <c r="A33" t="s">
        <v>36</v>
      </c>
      <c r="B33" t="str">
        <f>IFERROR(INDEX('Bank Statement'!$D$2:$D$101, MATCH(A33, 'Bank Statement'!$B$2:$B$101, 0)), "NOT FOUND")</f>
        <v>Debit</v>
      </c>
      <c r="C33" s="5">
        <f>IFERROR(INDEX('Bank Statement'!$A$2:$A$101, MATCH(A33, 'Bank Statement'!$B$2:$B$101, 0)), "NOT FOUND")</f>
        <v>45778</v>
      </c>
      <c r="D33" t="str">
        <f>IFERROR(INDEX('Bank Statement'!$C$2:$C$101, MATCH(A33, 'Bank Statement'!$B$2:$B$101, 0)), "NOT FOUND")</f>
        <v>Vendor Payment - Printica</v>
      </c>
      <c r="E33" s="3">
        <f>IFERROR(INDEX('Bank Statement'!$E$2:$E$101, MATCH(A33, 'Bank Statement'!$B$2:$B$101, 0)), "NOT FOUND")</f>
        <v>55781.37</v>
      </c>
      <c r="F33" s="5">
        <f>IFERROR(INDEX('Cash Book'!$A$2:$A$101, MATCH(A33, 'Cash Book'!$B$2:$B$101, 0)), "NOT FOUND")</f>
        <v>45778</v>
      </c>
      <c r="G33" t="str">
        <f>IFERROR(INDEX('Cash Book'!$C$2:$C$101, MATCH(A33, 'Cash Book'!$B$2:$B$101, 0)), "NOT FOUND")</f>
        <v>Vendor Payment - Printica</v>
      </c>
      <c r="H33" s="7">
        <f>IFERROR(INDEX('Cash Book'!$E$2:$E$101, MATCH(A33, 'Cash Book'!$B$2:$B$101, 0)), "NOT FOUND")</f>
        <v>55781.37</v>
      </c>
      <c r="I33" t="s">
        <v>133</v>
      </c>
      <c r="J33" t="s">
        <v>135</v>
      </c>
    </row>
    <row r="34" spans="1:10" x14ac:dyDescent="0.45">
      <c r="A34" t="s">
        <v>37</v>
      </c>
      <c r="B34" t="str">
        <f>IFERROR(INDEX('Bank Statement'!$D$2:$D$101, MATCH(A34, 'Bank Statement'!$B$2:$B$101, 0)), "NOT FOUND")</f>
        <v>Credit</v>
      </c>
      <c r="C34" s="5">
        <f>IFERROR(INDEX('Bank Statement'!$A$2:$A$101, MATCH(A34, 'Bank Statement'!$B$2:$B$101, 0)), "NOT FOUND")</f>
        <v>45779</v>
      </c>
      <c r="D34" t="str">
        <f>IFERROR(INDEX('Bank Statement'!$C$2:$C$101, MATCH(A34, 'Bank Statement'!$B$2:$B$101, 0)), "NOT FOUND")</f>
        <v>Staff Reimbursement - Travel</v>
      </c>
      <c r="E34" s="3">
        <f>IFERROR(INDEX('Bank Statement'!$E$2:$E$101, MATCH(A34, 'Bank Statement'!$B$2:$B$101, 0)), "NOT FOUND")</f>
        <v>52741.57</v>
      </c>
      <c r="F34" s="5">
        <f>IFERROR(INDEX('Cash Book'!$A$2:$A$101, MATCH(A34, 'Cash Book'!$B$2:$B$101, 0)), "NOT FOUND")</f>
        <v>45779</v>
      </c>
      <c r="G34" t="str">
        <f>IFERROR(INDEX('Cash Book'!$C$2:$C$101, MATCH(A34, 'Cash Book'!$B$2:$B$101, 0)), "NOT FOUND")</f>
        <v>Staff Reimbursement - Travel</v>
      </c>
      <c r="H34" s="7">
        <f>IFERROR(INDEX('Cash Book'!$E$2:$E$101, MATCH(A34, 'Cash Book'!$B$2:$B$101, 0)), "NOT FOUND")</f>
        <v>52741.57</v>
      </c>
      <c r="I34" t="s">
        <v>133</v>
      </c>
      <c r="J34" t="s">
        <v>135</v>
      </c>
    </row>
    <row r="35" spans="1:10" x14ac:dyDescent="0.45">
      <c r="A35" t="s">
        <v>38</v>
      </c>
      <c r="B35" t="str">
        <f>IFERROR(INDEX('Bank Statement'!$D$2:$D$101, MATCH(A35, 'Bank Statement'!$B$2:$B$101, 0)), "NOT FOUND")</f>
        <v>Credit</v>
      </c>
      <c r="C35" s="5">
        <f>IFERROR(INDEX('Bank Statement'!$A$2:$A$101, MATCH(A35, 'Bank Statement'!$B$2:$B$101, 0)), "NOT FOUND")</f>
        <v>45801</v>
      </c>
      <c r="D35" t="str">
        <f>IFERROR(INDEX('Bank Statement'!$C$2:$C$101, MATCH(A35, 'Bank Statement'!$B$2:$B$101, 0)), "NOT FOUND")</f>
        <v>Refund - ZephyrTech</v>
      </c>
      <c r="E35" s="3">
        <f>IFERROR(INDEX('Bank Statement'!$E$2:$E$101, MATCH(A35, 'Bank Statement'!$B$2:$B$101, 0)), "NOT FOUND")</f>
        <v>49053.38</v>
      </c>
      <c r="F35" s="5">
        <f>IFERROR(INDEX('Cash Book'!$A$2:$A$101, MATCH(A35, 'Cash Book'!$B$2:$B$101, 0)), "NOT FOUND")</f>
        <v>45801</v>
      </c>
      <c r="G35" t="str">
        <f>IFERROR(INDEX('Cash Book'!$C$2:$C$101, MATCH(A35, 'Cash Book'!$B$2:$B$101, 0)), "NOT FOUND")</f>
        <v>Refund - ZephyrTech</v>
      </c>
      <c r="H35" s="7">
        <f>IFERROR(INDEX('Cash Book'!$E$2:$E$101, MATCH(A35, 'Cash Book'!$B$2:$B$101, 0)), "NOT FOUND")</f>
        <v>49053.38</v>
      </c>
      <c r="I35" t="s">
        <v>133</v>
      </c>
      <c r="J35" t="s">
        <v>135</v>
      </c>
    </row>
    <row r="36" spans="1:10" x14ac:dyDescent="0.45">
      <c r="A36" t="s">
        <v>39</v>
      </c>
      <c r="B36" t="str">
        <f>IFERROR(INDEX('Bank Statement'!$D$2:$D$101, MATCH(A36, 'Bank Statement'!$B$2:$B$101, 0)), "NOT FOUND")</f>
        <v>Credit</v>
      </c>
      <c r="C36" s="5">
        <f>IFERROR(INDEX('Bank Statement'!$A$2:$A$101, MATCH(A36, 'Bank Statement'!$B$2:$B$101, 0)), "NOT FOUND")</f>
        <v>45799</v>
      </c>
      <c r="D36" t="str">
        <f>IFERROR(INDEX('Bank Statement'!$C$2:$C$101, MATCH(A36, 'Bank Statement'!$B$2:$B$101, 0)), "NOT FOUND")</f>
        <v>Refund - ZephyrTech</v>
      </c>
      <c r="E36" s="3">
        <f>IFERROR(INDEX('Bank Statement'!$E$2:$E$101, MATCH(A36, 'Bank Statement'!$B$2:$B$101, 0)), "NOT FOUND")</f>
        <v>56837.5</v>
      </c>
      <c r="F36" s="5">
        <f>IFERROR(INDEX('Cash Book'!$A$2:$A$101, MATCH(A36, 'Cash Book'!$B$2:$B$101, 0)), "NOT FOUND")</f>
        <v>45799</v>
      </c>
      <c r="G36" t="str">
        <f>IFERROR(INDEX('Cash Book'!$C$2:$C$101, MATCH(A36, 'Cash Book'!$B$2:$B$101, 0)), "NOT FOUND")</f>
        <v>Refund - ZephyrTech</v>
      </c>
      <c r="H36" s="7">
        <f>IFERROR(INDEX('Cash Book'!$E$2:$E$101, MATCH(A36, 'Cash Book'!$B$2:$B$101, 0)), "NOT FOUND")</f>
        <v>56837.5</v>
      </c>
      <c r="I36" t="s">
        <v>133</v>
      </c>
      <c r="J36" t="s">
        <v>135</v>
      </c>
    </row>
    <row r="37" spans="1:10" x14ac:dyDescent="0.45">
      <c r="A37" t="s">
        <v>40</v>
      </c>
      <c r="B37" t="str">
        <f>IFERROR(INDEX('Bank Statement'!$D$2:$D$101, MATCH(A37, 'Bank Statement'!$B$2:$B$101, 0)), "NOT FOUND")</f>
        <v>Credit</v>
      </c>
      <c r="C37" s="5">
        <f>IFERROR(INDEX('Bank Statement'!$A$2:$A$101, MATCH(A37, 'Bank Statement'!$B$2:$B$101, 0)), "NOT FOUND")</f>
        <v>45794</v>
      </c>
      <c r="D37" t="str">
        <f>IFERROR(INDEX('Bank Statement'!$C$2:$C$101, MATCH(A37, 'Bank Statement'!$B$2:$B$101, 0)), "NOT FOUND")</f>
        <v>Direct Credit - Stripe</v>
      </c>
      <c r="E37" s="3">
        <f>IFERROR(INDEX('Bank Statement'!$E$2:$E$101, MATCH(A37, 'Bank Statement'!$B$2:$B$101, 0)), "NOT FOUND")</f>
        <v>57879.59</v>
      </c>
      <c r="F37" s="5" t="str">
        <f>IFERROR(INDEX('Cash Book'!$A$2:$A$101, MATCH(A37, 'Cash Book'!$B$2:$B$101, 0)), "NOT FOUND")</f>
        <v>NOT FOUND</v>
      </c>
      <c r="G37" t="str">
        <f>IFERROR(INDEX('Cash Book'!$C$2:$C$101, MATCH(A37, 'Cash Book'!$B$2:$B$101, 0)), "NOT FOUND")</f>
        <v>NOT FOUND</v>
      </c>
      <c r="H37" s="7" t="str">
        <f>IFERROR(INDEX('Cash Book'!$E$2:$E$101, MATCH(A37, 'Cash Book'!$B$2:$B$101, 0)), "NOT FOUND")</f>
        <v>NOT FOUND</v>
      </c>
      <c r="I37" t="s">
        <v>134</v>
      </c>
      <c r="J37" s="8">
        <v>57879.59</v>
      </c>
    </row>
    <row r="38" spans="1:10" x14ac:dyDescent="0.45">
      <c r="A38" t="s">
        <v>41</v>
      </c>
      <c r="B38" t="str">
        <f>IFERROR(INDEX('Bank Statement'!$D$2:$D$101, MATCH(A38, 'Bank Statement'!$B$2:$B$101, 0)), "NOT FOUND")</f>
        <v>Debit</v>
      </c>
      <c r="C38" s="5">
        <f>IFERROR(INDEX('Bank Statement'!$A$2:$A$101, MATCH(A38, 'Bank Statement'!$B$2:$B$101, 0)), "NOT FOUND")</f>
        <v>45787</v>
      </c>
      <c r="D38" t="str">
        <f>IFERROR(INDEX('Bank Statement'!$C$2:$C$101, MATCH(A38, 'Bank Statement'!$B$2:$B$101, 0)), "NOT FOUND")</f>
        <v>Cheque Deposit - QuickFix Services</v>
      </c>
      <c r="E38" s="3">
        <f>IFERROR(INDEX('Bank Statement'!$E$2:$E$101, MATCH(A38, 'Bank Statement'!$B$2:$B$101, 0)), "NOT FOUND")</f>
        <v>59711.39</v>
      </c>
      <c r="F38" s="5">
        <f>IFERROR(INDEX('Cash Book'!$A$2:$A$101, MATCH(A38, 'Cash Book'!$B$2:$B$101, 0)), "NOT FOUND")</f>
        <v>45787</v>
      </c>
      <c r="G38" t="str">
        <f>IFERROR(INDEX('Cash Book'!$C$2:$C$101, MATCH(A38, 'Cash Book'!$B$2:$B$101, 0)), "NOT FOUND")</f>
        <v>Cheque Deposit - QuickFix Services</v>
      </c>
      <c r="H38" s="7">
        <f>IFERROR(INDEX('Cash Book'!$E$2:$E$101, MATCH(A38, 'Cash Book'!$B$2:$B$101, 0)), "NOT FOUND")</f>
        <v>59711.39</v>
      </c>
      <c r="I38" t="s">
        <v>133</v>
      </c>
      <c r="J38" t="s">
        <v>135</v>
      </c>
    </row>
    <row r="39" spans="1:10" x14ac:dyDescent="0.45">
      <c r="A39" t="s">
        <v>42</v>
      </c>
      <c r="B39" t="str">
        <f>IFERROR(INDEX('Bank Statement'!$D$2:$D$101, MATCH(A39, 'Bank Statement'!$B$2:$B$101, 0)), "NOT FOUND")</f>
        <v>Credit</v>
      </c>
      <c r="C39" s="5">
        <f>IFERROR(INDEX('Bank Statement'!$A$2:$A$101, MATCH(A39, 'Bank Statement'!$B$2:$B$101, 0)), "NOT FOUND")</f>
        <v>45806</v>
      </c>
      <c r="D39" t="str">
        <f>IFERROR(INDEX('Bank Statement'!$C$2:$C$101, MATCH(A39, 'Bank Statement'!$B$2:$B$101, 0)), "NOT FOUND")</f>
        <v>ATM Withdrawal</v>
      </c>
      <c r="E39" s="3">
        <f>IFERROR(INDEX('Bank Statement'!$E$2:$E$101, MATCH(A39, 'Bank Statement'!$B$2:$B$101, 0)), "NOT FOUND")</f>
        <v>27363.43</v>
      </c>
      <c r="F39" s="5">
        <f>IFERROR(INDEX('Cash Book'!$A$2:$A$101, MATCH(A39, 'Cash Book'!$B$2:$B$101, 0)), "NOT FOUND")</f>
        <v>45806</v>
      </c>
      <c r="G39" t="str">
        <f>IFERROR(INDEX('Cash Book'!$C$2:$C$101, MATCH(A39, 'Cash Book'!$B$2:$B$101, 0)), "NOT FOUND")</f>
        <v>ATM Withdrawal</v>
      </c>
      <c r="H39" s="7">
        <f>IFERROR(INDEX('Cash Book'!$E$2:$E$101, MATCH(A39, 'Cash Book'!$B$2:$B$101, 0)), "NOT FOUND")</f>
        <v>27363.43</v>
      </c>
      <c r="I39" t="s">
        <v>133</v>
      </c>
      <c r="J39" t="s">
        <v>135</v>
      </c>
    </row>
    <row r="40" spans="1:10" x14ac:dyDescent="0.45">
      <c r="A40" t="s">
        <v>43</v>
      </c>
      <c r="B40" t="str">
        <f>IFERROR(INDEX('Bank Statement'!$D$2:$D$101, MATCH(A40, 'Bank Statement'!$B$2:$B$101, 0)), "NOT FOUND")</f>
        <v>Credit</v>
      </c>
      <c r="C40" s="5">
        <f>IFERROR(INDEX('Bank Statement'!$A$2:$A$101, MATCH(A40, 'Bank Statement'!$B$2:$B$101, 0)), "NOT FOUND")</f>
        <v>45780</v>
      </c>
      <c r="D40" t="str">
        <f>IFERROR(INDEX('Bank Statement'!$C$2:$C$101, MATCH(A40, 'Bank Statement'!$B$2:$B$101, 0)), "NOT FOUND")</f>
        <v>Payment to Revanta Designs</v>
      </c>
      <c r="E40" s="3">
        <f>IFERROR(INDEX('Bank Statement'!$E$2:$E$101, MATCH(A40, 'Bank Statement'!$B$2:$B$101, 0)), "NOT FOUND")</f>
        <v>1751.54</v>
      </c>
      <c r="F40" s="5" t="str">
        <f>IFERROR(INDEX('Cash Book'!$A$2:$A$101, MATCH(A40, 'Cash Book'!$B$2:$B$101, 0)), "NOT FOUND")</f>
        <v>NOT FOUND</v>
      </c>
      <c r="G40" t="str">
        <f>IFERROR(INDEX('Cash Book'!$C$2:$C$101, MATCH(A40, 'Cash Book'!$B$2:$B$101, 0)), "NOT FOUND")</f>
        <v>NOT FOUND</v>
      </c>
      <c r="H40" s="7" t="str">
        <f>IFERROR(INDEX('Cash Book'!$E$2:$E$101, MATCH(A40, 'Cash Book'!$B$2:$B$101, 0)), "NOT FOUND")</f>
        <v>NOT FOUND</v>
      </c>
      <c r="I40" t="s">
        <v>134</v>
      </c>
      <c r="J40" s="8">
        <v>1751.54</v>
      </c>
    </row>
    <row r="41" spans="1:10" x14ac:dyDescent="0.45">
      <c r="A41" t="s">
        <v>44</v>
      </c>
      <c r="B41" t="str">
        <f>IFERROR(INDEX('Bank Statement'!$D$2:$D$101, MATCH(A41, 'Bank Statement'!$B$2:$B$101, 0)), "NOT FOUND")</f>
        <v>Credit</v>
      </c>
      <c r="C41" s="5">
        <f>IFERROR(INDEX('Bank Statement'!$A$2:$A$101, MATCH(A41, 'Bank Statement'!$B$2:$B$101, 0)), "NOT FOUND")</f>
        <v>45785</v>
      </c>
      <c r="D41" t="str">
        <f>IFERROR(INDEX('Bank Statement'!$C$2:$C$101, MATCH(A41, 'Bank Statement'!$B$2:$B$101, 0)), "NOT FOUND")</f>
        <v>Customer Payment - ZephyrTech</v>
      </c>
      <c r="E41" s="3">
        <f>IFERROR(INDEX('Bank Statement'!$E$2:$E$101, MATCH(A41, 'Bank Statement'!$B$2:$B$101, 0)), "NOT FOUND")</f>
        <v>4724.09</v>
      </c>
      <c r="F41" s="5">
        <f>IFERROR(INDEX('Cash Book'!$A$2:$A$101, MATCH(A41, 'Cash Book'!$B$2:$B$101, 0)), "NOT FOUND")</f>
        <v>45785</v>
      </c>
      <c r="G41" t="str">
        <f>IFERROR(INDEX('Cash Book'!$C$2:$C$101, MATCH(A41, 'Cash Book'!$B$2:$B$101, 0)), "NOT FOUND")</f>
        <v>Customer Payment - ZephyrTech</v>
      </c>
      <c r="H41" s="7">
        <f>IFERROR(INDEX('Cash Book'!$E$2:$E$101, MATCH(A41, 'Cash Book'!$B$2:$B$101, 0)), "NOT FOUND")</f>
        <v>4724.09</v>
      </c>
      <c r="I41" t="s">
        <v>133</v>
      </c>
      <c r="J41" t="s">
        <v>135</v>
      </c>
    </row>
    <row r="42" spans="1:10" x14ac:dyDescent="0.45">
      <c r="A42" t="s">
        <v>45</v>
      </c>
      <c r="B42" t="str">
        <f>IFERROR(INDEX('Bank Statement'!$D$2:$D$101, MATCH(A42, 'Bank Statement'!$B$2:$B$101, 0)), "NOT FOUND")</f>
        <v>Credit</v>
      </c>
      <c r="C42" s="5">
        <f>IFERROR(INDEX('Bank Statement'!$A$2:$A$101, MATCH(A42, 'Bank Statement'!$B$2:$B$101, 0)), "NOT FOUND")</f>
        <v>45780</v>
      </c>
      <c r="D42" t="str">
        <f>IFERROR(INDEX('Bank Statement'!$C$2:$C$101, MATCH(A42, 'Bank Statement'!$B$2:$B$101, 0)), "NOT FOUND")</f>
        <v>NEFT from NetEdge Systems</v>
      </c>
      <c r="E42" s="3">
        <f>IFERROR(INDEX('Bank Statement'!$E$2:$E$101, MATCH(A42, 'Bank Statement'!$B$2:$B$101, 0)), "NOT FOUND")</f>
        <v>51648.31</v>
      </c>
      <c r="F42" s="5" t="str">
        <f>IFERROR(INDEX('Cash Book'!$A$2:$A$101, MATCH(A42, 'Cash Book'!$B$2:$B$101, 0)), "NOT FOUND")</f>
        <v>NOT FOUND</v>
      </c>
      <c r="G42" t="str">
        <f>IFERROR(INDEX('Cash Book'!$C$2:$C$101, MATCH(A42, 'Cash Book'!$B$2:$B$101, 0)), "NOT FOUND")</f>
        <v>NOT FOUND</v>
      </c>
      <c r="H42" s="7" t="str">
        <f>IFERROR(INDEX('Cash Book'!$E$2:$E$101, MATCH(A42, 'Cash Book'!$B$2:$B$101, 0)), "NOT FOUND")</f>
        <v>NOT FOUND</v>
      </c>
      <c r="I42" t="s">
        <v>134</v>
      </c>
      <c r="J42" s="8">
        <v>51648.31</v>
      </c>
    </row>
    <row r="43" spans="1:10" x14ac:dyDescent="0.45">
      <c r="A43" t="s">
        <v>46</v>
      </c>
      <c r="B43" t="str">
        <f>IFERROR(INDEX('Bank Statement'!$D$2:$D$101, MATCH(A43, 'Bank Statement'!$B$2:$B$101, 0)), "NOT FOUND")</f>
        <v>Credit</v>
      </c>
      <c r="C43" s="5">
        <f>IFERROR(INDEX('Bank Statement'!$A$2:$A$101, MATCH(A43, 'Bank Statement'!$B$2:$B$101, 0)), "NOT FOUND")</f>
        <v>45785</v>
      </c>
      <c r="D43" t="str">
        <f>IFERROR(INDEX('Bank Statement'!$C$2:$C$101, MATCH(A43, 'Bank Statement'!$B$2:$B$101, 0)), "NOT FOUND")</f>
        <v>Utilities - Electricity Board</v>
      </c>
      <c r="E43" s="3">
        <f>IFERROR(INDEX('Bank Statement'!$E$2:$E$101, MATCH(A43, 'Bank Statement'!$B$2:$B$101, 0)), "NOT FOUND")</f>
        <v>40304.18</v>
      </c>
      <c r="F43" s="5" t="str">
        <f>IFERROR(INDEX('Cash Book'!$A$2:$A$101, MATCH(A43, 'Cash Book'!$B$2:$B$101, 0)), "NOT FOUND")</f>
        <v>NOT FOUND</v>
      </c>
      <c r="G43" t="str">
        <f>IFERROR(INDEX('Cash Book'!$C$2:$C$101, MATCH(A43, 'Cash Book'!$B$2:$B$101, 0)), "NOT FOUND")</f>
        <v>NOT FOUND</v>
      </c>
      <c r="H43" s="7" t="str">
        <f>IFERROR(INDEX('Cash Book'!$E$2:$E$101, MATCH(A43, 'Cash Book'!$B$2:$B$101, 0)), "NOT FOUND")</f>
        <v>NOT FOUND</v>
      </c>
      <c r="I43" t="s">
        <v>134</v>
      </c>
      <c r="J43" s="8">
        <v>40304.18</v>
      </c>
    </row>
    <row r="44" spans="1:10" x14ac:dyDescent="0.45">
      <c r="A44" t="s">
        <v>47</v>
      </c>
      <c r="B44" t="str">
        <f>IFERROR(INDEX('Bank Statement'!$D$2:$D$101, MATCH(A44, 'Bank Statement'!$B$2:$B$101, 0)), "NOT FOUND")</f>
        <v>Debit</v>
      </c>
      <c r="C44" s="5">
        <f>IFERROR(INDEX('Bank Statement'!$A$2:$A$101, MATCH(A44, 'Bank Statement'!$B$2:$B$101, 0)), "NOT FOUND")</f>
        <v>45782</v>
      </c>
      <c r="D44" t="str">
        <f>IFERROR(INDEX('Bank Statement'!$C$2:$C$101, MATCH(A44, 'Bank Statement'!$B$2:$B$101, 0)), "NOT FOUND")</f>
        <v>Refund - ZephyrTech</v>
      </c>
      <c r="E44" s="3">
        <f>IFERROR(INDEX('Bank Statement'!$E$2:$E$101, MATCH(A44, 'Bank Statement'!$B$2:$B$101, 0)), "NOT FOUND")</f>
        <v>14958.34</v>
      </c>
      <c r="F44" s="5">
        <f>IFERROR(INDEX('Cash Book'!$A$2:$A$101, MATCH(A44, 'Cash Book'!$B$2:$B$101, 0)), "NOT FOUND")</f>
        <v>45782</v>
      </c>
      <c r="G44" t="str">
        <f>IFERROR(INDEX('Cash Book'!$C$2:$C$101, MATCH(A44, 'Cash Book'!$B$2:$B$101, 0)), "NOT FOUND")</f>
        <v>Refund - ZephyrTech</v>
      </c>
      <c r="H44" s="7">
        <f>IFERROR(INDEX('Cash Book'!$E$2:$E$101, MATCH(A44, 'Cash Book'!$B$2:$B$101, 0)), "NOT FOUND")</f>
        <v>14958.34</v>
      </c>
      <c r="I44" t="s">
        <v>133</v>
      </c>
      <c r="J44" t="s">
        <v>135</v>
      </c>
    </row>
    <row r="45" spans="1:10" x14ac:dyDescent="0.45">
      <c r="A45" t="s">
        <v>48</v>
      </c>
      <c r="B45" t="str">
        <f>IFERROR(INDEX('Bank Statement'!$D$2:$D$101, MATCH(A45, 'Bank Statement'!$B$2:$B$101, 0)), "NOT FOUND")</f>
        <v>Debit</v>
      </c>
      <c r="C45" s="5">
        <f>IFERROR(INDEX('Bank Statement'!$A$2:$A$101, MATCH(A45, 'Bank Statement'!$B$2:$B$101, 0)), "NOT FOUND")</f>
        <v>45784</v>
      </c>
      <c r="D45" t="str">
        <f>IFERROR(INDEX('Bank Statement'!$C$2:$C$101, MATCH(A45, 'Bank Statement'!$B$2:$B$101, 0)), "NOT FOUND")</f>
        <v>Vendor Payment - Printica</v>
      </c>
      <c r="E45" s="3">
        <f>IFERROR(INDEX('Bank Statement'!$E$2:$E$101, MATCH(A45, 'Bank Statement'!$B$2:$B$101, 0)), "NOT FOUND")</f>
        <v>6267.38</v>
      </c>
      <c r="F45" s="5">
        <f>IFERROR(INDEX('Cash Book'!$A$2:$A$101, MATCH(A45, 'Cash Book'!$B$2:$B$101, 0)), "NOT FOUND")</f>
        <v>45784</v>
      </c>
      <c r="G45" t="str">
        <f>IFERROR(INDEX('Cash Book'!$C$2:$C$101, MATCH(A45, 'Cash Book'!$B$2:$B$101, 0)), "NOT FOUND")</f>
        <v>Vendor Payment - Printica</v>
      </c>
      <c r="H45" s="7">
        <f>IFERROR(INDEX('Cash Book'!$E$2:$E$101, MATCH(A45, 'Cash Book'!$B$2:$B$101, 0)), "NOT FOUND")</f>
        <v>6267.38</v>
      </c>
      <c r="I45" t="s">
        <v>133</v>
      </c>
      <c r="J45" t="s">
        <v>135</v>
      </c>
    </row>
    <row r="46" spans="1:10" x14ac:dyDescent="0.45">
      <c r="A46" t="s">
        <v>49</v>
      </c>
      <c r="B46" t="str">
        <f>IFERROR(INDEX('Bank Statement'!$D$2:$D$101, MATCH(A46, 'Bank Statement'!$B$2:$B$101, 0)), "NOT FOUND")</f>
        <v>Credit</v>
      </c>
      <c r="C46" s="5">
        <f>IFERROR(INDEX('Bank Statement'!$A$2:$A$101, MATCH(A46, 'Bank Statement'!$B$2:$B$101, 0)), "NOT FOUND")</f>
        <v>45791</v>
      </c>
      <c r="D46" t="str">
        <f>IFERROR(INDEX('Bank Statement'!$C$2:$C$101, MATCH(A46, 'Bank Statement'!$B$2:$B$101, 0)), "NOT FOUND")</f>
        <v>Direct Credit - Stripe</v>
      </c>
      <c r="E46" s="3">
        <f>IFERROR(INDEX('Bank Statement'!$E$2:$E$101, MATCH(A46, 'Bank Statement'!$B$2:$B$101, 0)), "NOT FOUND")</f>
        <v>28287.97</v>
      </c>
      <c r="F46" s="5" t="str">
        <f>IFERROR(INDEX('Cash Book'!$A$2:$A$101, MATCH(A46, 'Cash Book'!$B$2:$B$101, 0)), "NOT FOUND")</f>
        <v>NOT FOUND</v>
      </c>
      <c r="G46" t="str">
        <f>IFERROR(INDEX('Cash Book'!$C$2:$C$101, MATCH(A46, 'Cash Book'!$B$2:$B$101, 0)), "NOT FOUND")</f>
        <v>NOT FOUND</v>
      </c>
      <c r="H46" s="7" t="str">
        <f>IFERROR(INDEX('Cash Book'!$E$2:$E$101, MATCH(A46, 'Cash Book'!$B$2:$B$101, 0)), "NOT FOUND")</f>
        <v>NOT FOUND</v>
      </c>
      <c r="I46" t="s">
        <v>134</v>
      </c>
      <c r="J46" s="8">
        <v>28287.97</v>
      </c>
    </row>
    <row r="47" spans="1:10" x14ac:dyDescent="0.45">
      <c r="A47" t="s">
        <v>50</v>
      </c>
      <c r="B47" t="str">
        <f>IFERROR(INDEX('Bank Statement'!$D$2:$D$101, MATCH(A47, 'Bank Statement'!$B$2:$B$101, 0)), "NOT FOUND")</f>
        <v>Debit</v>
      </c>
      <c r="C47" s="5">
        <f>IFERROR(INDEX('Bank Statement'!$A$2:$A$101, MATCH(A47, 'Bank Statement'!$B$2:$B$101, 0)), "NOT FOUND")</f>
        <v>45798</v>
      </c>
      <c r="D47" t="str">
        <f>IFERROR(INDEX('Bank Statement'!$C$2:$C$101, MATCH(A47, 'Bank Statement'!$B$2:$B$101, 0)), "NOT FOUND")</f>
        <v>Vendor Payment - Printica</v>
      </c>
      <c r="E47" s="3">
        <f>IFERROR(INDEX('Bank Statement'!$E$2:$E$101, MATCH(A47, 'Bank Statement'!$B$2:$B$101, 0)), "NOT FOUND")</f>
        <v>4106.45</v>
      </c>
      <c r="F47" s="5">
        <f>IFERROR(INDEX('Cash Book'!$A$2:$A$101, MATCH(A47, 'Cash Book'!$B$2:$B$101, 0)), "NOT FOUND")</f>
        <v>45798</v>
      </c>
      <c r="G47" t="str">
        <f>IFERROR(INDEX('Cash Book'!$C$2:$C$101, MATCH(A47, 'Cash Book'!$B$2:$B$101, 0)), "NOT FOUND")</f>
        <v>Vendor Payment - Printica</v>
      </c>
      <c r="H47" s="7">
        <f>IFERROR(INDEX('Cash Book'!$E$2:$E$101, MATCH(A47, 'Cash Book'!$B$2:$B$101, 0)), "NOT FOUND")</f>
        <v>4106.45</v>
      </c>
      <c r="I47" t="s">
        <v>133</v>
      </c>
      <c r="J47" t="s">
        <v>135</v>
      </c>
    </row>
    <row r="48" spans="1:10" x14ac:dyDescent="0.45">
      <c r="A48" t="s">
        <v>51</v>
      </c>
      <c r="B48" t="str">
        <f>IFERROR(INDEX('Bank Statement'!$D$2:$D$101, MATCH(A48, 'Bank Statement'!$B$2:$B$101, 0)), "NOT FOUND")</f>
        <v>Debit</v>
      </c>
      <c r="C48" s="5">
        <f>IFERROR(INDEX('Bank Statement'!$A$2:$A$101, MATCH(A48, 'Bank Statement'!$B$2:$B$101, 0)), "NOT FOUND")</f>
        <v>45785</v>
      </c>
      <c r="D48" t="str">
        <f>IFERROR(INDEX('Bank Statement'!$C$2:$C$101, MATCH(A48, 'Bank Statement'!$B$2:$B$101, 0)), "NOT FOUND")</f>
        <v>Bank Charges - ICICI</v>
      </c>
      <c r="E48" s="3">
        <f>IFERROR(INDEX('Bank Statement'!$E$2:$E$101, MATCH(A48, 'Bank Statement'!$B$2:$B$101, 0)), "NOT FOUND")</f>
        <v>11817.43</v>
      </c>
      <c r="F48" s="5">
        <f>IFERROR(INDEX('Cash Book'!$A$2:$A$101, MATCH(A48, 'Cash Book'!$B$2:$B$101, 0)), "NOT FOUND")</f>
        <v>45785</v>
      </c>
      <c r="G48" t="str">
        <f>IFERROR(INDEX('Cash Book'!$C$2:$C$101, MATCH(A48, 'Cash Book'!$B$2:$B$101, 0)), "NOT FOUND")</f>
        <v>Bank Charges - ICICI</v>
      </c>
      <c r="H48" s="7">
        <f>IFERROR(INDEX('Cash Book'!$E$2:$E$101, MATCH(A48, 'Cash Book'!$B$2:$B$101, 0)), "NOT FOUND")</f>
        <v>11817.43</v>
      </c>
      <c r="I48" t="s">
        <v>133</v>
      </c>
      <c r="J48" t="s">
        <v>135</v>
      </c>
    </row>
    <row r="49" spans="1:10" x14ac:dyDescent="0.45">
      <c r="A49" t="s">
        <v>52</v>
      </c>
      <c r="B49" t="str">
        <f>IFERROR(INDEX('Bank Statement'!$D$2:$D$101, MATCH(A49, 'Bank Statement'!$B$2:$B$101, 0)), "NOT FOUND")</f>
        <v>Credit</v>
      </c>
      <c r="C49" s="5">
        <f>IFERROR(INDEX('Bank Statement'!$A$2:$A$101, MATCH(A49, 'Bank Statement'!$B$2:$B$101, 0)), "NOT FOUND")</f>
        <v>45791</v>
      </c>
      <c r="D49" t="str">
        <f>IFERROR(INDEX('Bank Statement'!$C$2:$C$101, MATCH(A49, 'Bank Statement'!$B$2:$B$101, 0)), "NOT FOUND")</f>
        <v>Internet Charges - Airtel</v>
      </c>
      <c r="E49" s="3">
        <f>IFERROR(INDEX('Bank Statement'!$E$2:$E$101, MATCH(A49, 'Bank Statement'!$B$2:$B$101, 0)), "NOT FOUND")</f>
        <v>17073.439999999999</v>
      </c>
      <c r="F49" s="5">
        <f>IFERROR(INDEX('Cash Book'!$A$2:$A$101, MATCH(A49, 'Cash Book'!$B$2:$B$101, 0)), "NOT FOUND")</f>
        <v>45791</v>
      </c>
      <c r="G49" t="str">
        <f>IFERROR(INDEX('Cash Book'!$C$2:$C$101, MATCH(A49, 'Cash Book'!$B$2:$B$101, 0)), "NOT FOUND")</f>
        <v>Internet Charges - Airtel</v>
      </c>
      <c r="H49" s="7">
        <f>IFERROR(INDEX('Cash Book'!$E$2:$E$101, MATCH(A49, 'Cash Book'!$B$2:$B$101, 0)), "NOT FOUND")</f>
        <v>17073.439999999999</v>
      </c>
      <c r="I49" t="s">
        <v>133</v>
      </c>
      <c r="J49" t="s">
        <v>135</v>
      </c>
    </row>
    <row r="50" spans="1:10" x14ac:dyDescent="0.45">
      <c r="A50" t="s">
        <v>53</v>
      </c>
      <c r="B50" t="str">
        <f>IFERROR(INDEX('Bank Statement'!$D$2:$D$101, MATCH(A50, 'Bank Statement'!$B$2:$B$101, 0)), "NOT FOUND")</f>
        <v>Credit</v>
      </c>
      <c r="C50" s="5">
        <f>IFERROR(INDEX('Bank Statement'!$A$2:$A$101, MATCH(A50, 'Bank Statement'!$B$2:$B$101, 0)), "NOT FOUND")</f>
        <v>45792</v>
      </c>
      <c r="D50" t="str">
        <f>IFERROR(INDEX('Bank Statement'!$C$2:$C$101, MATCH(A50, 'Bank Statement'!$B$2:$B$101, 0)), "NOT FOUND")</f>
        <v>Cheque Deposit - Enzine Solutions</v>
      </c>
      <c r="E50" s="3">
        <f>IFERROR(INDEX('Bank Statement'!$E$2:$E$101, MATCH(A50, 'Bank Statement'!$B$2:$B$101, 0)), "NOT FOUND")</f>
        <v>6325.57</v>
      </c>
      <c r="F50" s="5">
        <f>IFERROR(INDEX('Cash Book'!$A$2:$A$101, MATCH(A50, 'Cash Book'!$B$2:$B$101, 0)), "NOT FOUND")</f>
        <v>45792</v>
      </c>
      <c r="G50" t="str">
        <f>IFERROR(INDEX('Cash Book'!$C$2:$C$101, MATCH(A50, 'Cash Book'!$B$2:$B$101, 0)), "NOT FOUND")</f>
        <v>Cheque Deposit - Enzine Solutions</v>
      </c>
      <c r="H50" s="7">
        <f>IFERROR(INDEX('Cash Book'!$E$2:$E$101, MATCH(A50, 'Cash Book'!$B$2:$B$101, 0)), "NOT FOUND")</f>
        <v>6325.57</v>
      </c>
      <c r="I50" t="s">
        <v>133</v>
      </c>
      <c r="J50" t="s">
        <v>135</v>
      </c>
    </row>
    <row r="51" spans="1:10" x14ac:dyDescent="0.45">
      <c r="A51" t="s">
        <v>54</v>
      </c>
      <c r="B51" t="str">
        <f>IFERROR(INDEX('Bank Statement'!$D$2:$D$101, MATCH(A51, 'Bank Statement'!$B$2:$B$101, 0)), "NOT FOUND")</f>
        <v>Debit</v>
      </c>
      <c r="C51" s="5">
        <f>IFERROR(INDEX('Bank Statement'!$A$2:$A$101, MATCH(A51, 'Bank Statement'!$B$2:$B$101, 0)), "NOT FOUND")</f>
        <v>45807</v>
      </c>
      <c r="D51" t="str">
        <f>IFERROR(INDEX('Bank Statement'!$C$2:$C$101, MATCH(A51, 'Bank Statement'!$B$2:$B$101, 0)), "NOT FOUND")</f>
        <v>Staff Reimbursement - Travel</v>
      </c>
      <c r="E51" s="3">
        <f>IFERROR(INDEX('Bank Statement'!$E$2:$E$101, MATCH(A51, 'Bank Statement'!$B$2:$B$101, 0)), "NOT FOUND")</f>
        <v>10395.51</v>
      </c>
      <c r="F51" s="5">
        <f>IFERROR(INDEX('Cash Book'!$A$2:$A$101, MATCH(A51, 'Cash Book'!$B$2:$B$101, 0)), "NOT FOUND")</f>
        <v>45807</v>
      </c>
      <c r="G51" t="str">
        <f>IFERROR(INDEX('Cash Book'!$C$2:$C$101, MATCH(A51, 'Cash Book'!$B$2:$B$101, 0)), "NOT FOUND")</f>
        <v>Staff Reimbursement - Travel</v>
      </c>
      <c r="H51" s="7">
        <f>IFERROR(INDEX('Cash Book'!$E$2:$E$101, MATCH(A51, 'Cash Book'!$B$2:$B$101, 0)), "NOT FOUND")</f>
        <v>10395.51</v>
      </c>
      <c r="I51" t="s">
        <v>133</v>
      </c>
      <c r="J51" t="s">
        <v>135</v>
      </c>
    </row>
    <row r="52" spans="1:10" x14ac:dyDescent="0.45">
      <c r="A52" t="s">
        <v>55</v>
      </c>
      <c r="B52" t="str">
        <f>IFERROR(INDEX('Bank Statement'!$D$2:$D$101, MATCH(A52, 'Bank Statement'!$B$2:$B$101, 0)), "NOT FOUND")</f>
        <v>Credit</v>
      </c>
      <c r="C52" s="5">
        <f>IFERROR(INDEX('Bank Statement'!$A$2:$A$101, MATCH(A52, 'Bank Statement'!$B$2:$B$101, 0)), "NOT FOUND")</f>
        <v>45784</v>
      </c>
      <c r="D52" t="str">
        <f>IFERROR(INDEX('Bank Statement'!$C$2:$C$101, MATCH(A52, 'Bank Statement'!$B$2:$B$101, 0)), "NOT FOUND")</f>
        <v>Cheque Deposit - QuickFix Services</v>
      </c>
      <c r="E52" s="3">
        <f>IFERROR(INDEX('Bank Statement'!$E$2:$E$101, MATCH(A52, 'Bank Statement'!$B$2:$B$101, 0)), "NOT FOUND")</f>
        <v>54195.35</v>
      </c>
      <c r="F52" s="5">
        <f>IFERROR(INDEX('Cash Book'!$A$2:$A$101, MATCH(A52, 'Cash Book'!$B$2:$B$101, 0)), "NOT FOUND")</f>
        <v>45784</v>
      </c>
      <c r="G52" t="str">
        <f>IFERROR(INDEX('Cash Book'!$C$2:$C$101, MATCH(A52, 'Cash Book'!$B$2:$B$101, 0)), "NOT FOUND")</f>
        <v>Cheque Deposit - QuickFix Services</v>
      </c>
      <c r="H52" s="7">
        <f>IFERROR(INDEX('Cash Book'!$E$2:$E$101, MATCH(A52, 'Cash Book'!$B$2:$B$101, 0)), "NOT FOUND")</f>
        <v>54195.35</v>
      </c>
      <c r="I52" t="s">
        <v>133</v>
      </c>
      <c r="J52" t="s">
        <v>135</v>
      </c>
    </row>
    <row r="53" spans="1:10" x14ac:dyDescent="0.45">
      <c r="A53" t="s">
        <v>56</v>
      </c>
      <c r="B53" t="str">
        <f>IFERROR(INDEX('Bank Statement'!$D$2:$D$101, MATCH(A53, 'Bank Statement'!$B$2:$B$101, 0)), "NOT FOUND")</f>
        <v>Debit</v>
      </c>
      <c r="C53" s="5">
        <f>IFERROR(INDEX('Bank Statement'!$A$2:$A$101, MATCH(A53, 'Bank Statement'!$B$2:$B$101, 0)), "NOT FOUND")</f>
        <v>45778</v>
      </c>
      <c r="D53" t="str">
        <f>IFERROR(INDEX('Bank Statement'!$C$2:$C$101, MATCH(A53, 'Bank Statement'!$B$2:$B$101, 0)), "NOT FOUND")</f>
        <v>Cheque Deposit - QuickFix Services</v>
      </c>
      <c r="E53" s="3">
        <f>IFERROR(INDEX('Bank Statement'!$E$2:$E$101, MATCH(A53, 'Bank Statement'!$B$2:$B$101, 0)), "NOT FOUND")</f>
        <v>16279.58</v>
      </c>
      <c r="F53" s="5">
        <f>IFERROR(INDEX('Cash Book'!$A$2:$A$101, MATCH(A53, 'Cash Book'!$B$2:$B$101, 0)), "NOT FOUND")</f>
        <v>45778</v>
      </c>
      <c r="G53" t="str">
        <f>IFERROR(INDEX('Cash Book'!$C$2:$C$101, MATCH(A53, 'Cash Book'!$B$2:$B$101, 0)), "NOT FOUND")</f>
        <v>Cheque Deposit - QuickFix Services</v>
      </c>
      <c r="H53" s="7">
        <f>IFERROR(INDEX('Cash Book'!$E$2:$E$101, MATCH(A53, 'Cash Book'!$B$2:$B$101, 0)), "NOT FOUND")</f>
        <v>16279.58</v>
      </c>
      <c r="I53" t="s">
        <v>133</v>
      </c>
      <c r="J53" t="s">
        <v>135</v>
      </c>
    </row>
    <row r="54" spans="1:10" x14ac:dyDescent="0.45">
      <c r="A54" t="s">
        <v>57</v>
      </c>
      <c r="B54" t="str">
        <f>IFERROR(INDEX('Bank Statement'!$D$2:$D$101, MATCH(A54, 'Bank Statement'!$B$2:$B$101, 0)), "NOT FOUND")</f>
        <v>Debit</v>
      </c>
      <c r="C54" s="5">
        <f>IFERROR(INDEX('Bank Statement'!$A$2:$A$101, MATCH(A54, 'Bank Statement'!$B$2:$B$101, 0)), "NOT FOUND")</f>
        <v>45791</v>
      </c>
      <c r="D54" t="str">
        <f>IFERROR(INDEX('Bank Statement'!$C$2:$C$101, MATCH(A54, 'Bank Statement'!$B$2:$B$101, 0)), "NOT FOUND")</f>
        <v>Cheque Deposit - Enzine Solutions</v>
      </c>
      <c r="E54" s="3">
        <f>IFERROR(INDEX('Bank Statement'!$E$2:$E$101, MATCH(A54, 'Bank Statement'!$B$2:$B$101, 0)), "NOT FOUND")</f>
        <v>39881.339999999997</v>
      </c>
      <c r="F54" s="5">
        <f>IFERROR(INDEX('Cash Book'!$A$2:$A$101, MATCH(A54, 'Cash Book'!$B$2:$B$101, 0)), "NOT FOUND")</f>
        <v>45791</v>
      </c>
      <c r="G54" t="str">
        <f>IFERROR(INDEX('Cash Book'!$C$2:$C$101, MATCH(A54, 'Cash Book'!$B$2:$B$101, 0)), "NOT FOUND")</f>
        <v>Cheque Deposit - Enzine Solutions</v>
      </c>
      <c r="H54" s="7">
        <f>IFERROR(INDEX('Cash Book'!$E$2:$E$101, MATCH(A54, 'Cash Book'!$B$2:$B$101, 0)), "NOT FOUND")</f>
        <v>39881.339999999997</v>
      </c>
      <c r="I54" t="s">
        <v>133</v>
      </c>
      <c r="J54" t="s">
        <v>135</v>
      </c>
    </row>
    <row r="55" spans="1:10" x14ac:dyDescent="0.45">
      <c r="A55" t="s">
        <v>58</v>
      </c>
      <c r="B55" t="str">
        <f>IFERROR(INDEX('Bank Statement'!$D$2:$D$101, MATCH(A55, 'Bank Statement'!$B$2:$B$101, 0)), "NOT FOUND")</f>
        <v>Credit</v>
      </c>
      <c r="C55" s="5">
        <f>IFERROR(INDEX('Bank Statement'!$A$2:$A$101, MATCH(A55, 'Bank Statement'!$B$2:$B$101, 0)), "NOT FOUND")</f>
        <v>45784</v>
      </c>
      <c r="D55" t="str">
        <f>IFERROR(INDEX('Bank Statement'!$C$2:$C$101, MATCH(A55, 'Bank Statement'!$B$2:$B$101, 0)), "NOT FOUND")</f>
        <v>Hosting - AWS</v>
      </c>
      <c r="E55" s="3">
        <f>IFERROR(INDEX('Bank Statement'!$E$2:$E$101, MATCH(A55, 'Bank Statement'!$B$2:$B$101, 0)), "NOT FOUND")</f>
        <v>13453.2</v>
      </c>
      <c r="F55" s="5" t="str">
        <f>IFERROR(INDEX('Cash Book'!$A$2:$A$101, MATCH(A55, 'Cash Book'!$B$2:$B$101, 0)), "NOT FOUND")</f>
        <v>NOT FOUND</v>
      </c>
      <c r="G55" t="str">
        <f>IFERROR(INDEX('Cash Book'!$C$2:$C$101, MATCH(A55, 'Cash Book'!$B$2:$B$101, 0)), "NOT FOUND")</f>
        <v>NOT FOUND</v>
      </c>
      <c r="H55" s="7" t="str">
        <f>IFERROR(INDEX('Cash Book'!$E$2:$E$101, MATCH(A55, 'Cash Book'!$B$2:$B$101, 0)), "NOT FOUND")</f>
        <v>NOT FOUND</v>
      </c>
      <c r="I55" t="s">
        <v>134</v>
      </c>
      <c r="J55" s="8">
        <v>13453.2</v>
      </c>
    </row>
    <row r="56" spans="1:10" x14ac:dyDescent="0.45">
      <c r="A56" t="s">
        <v>59</v>
      </c>
      <c r="B56" t="str">
        <f>IFERROR(INDEX('Bank Statement'!$D$2:$D$101, MATCH(A56, 'Bank Statement'!$B$2:$B$101, 0)), "NOT FOUND")</f>
        <v>Debit</v>
      </c>
      <c r="C56" s="5">
        <f>IFERROR(INDEX('Bank Statement'!$A$2:$A$101, MATCH(A56, 'Bank Statement'!$B$2:$B$101, 0)), "NOT FOUND")</f>
        <v>45801</v>
      </c>
      <c r="D56" t="str">
        <f>IFERROR(INDEX('Bank Statement'!$C$2:$C$101, MATCH(A56, 'Bank Statement'!$B$2:$B$101, 0)), "NOT FOUND")</f>
        <v>Cheque Deposit - Enzine Solutions</v>
      </c>
      <c r="E56" s="3">
        <f>IFERROR(INDEX('Bank Statement'!$E$2:$E$101, MATCH(A56, 'Bank Statement'!$B$2:$B$101, 0)), "NOT FOUND")</f>
        <v>4126.9799999999996</v>
      </c>
      <c r="F56" s="5">
        <f>IFERROR(INDEX('Cash Book'!$A$2:$A$101, MATCH(A56, 'Cash Book'!$B$2:$B$101, 0)), "NOT FOUND")</f>
        <v>45801</v>
      </c>
      <c r="G56" t="str">
        <f>IFERROR(INDEX('Cash Book'!$C$2:$C$101, MATCH(A56, 'Cash Book'!$B$2:$B$101, 0)), "NOT FOUND")</f>
        <v>Cheque Deposit - Enzine Solutions</v>
      </c>
      <c r="H56" s="7">
        <f>IFERROR(INDEX('Cash Book'!$E$2:$E$101, MATCH(A56, 'Cash Book'!$B$2:$B$101, 0)), "NOT FOUND")</f>
        <v>4126.9799999999996</v>
      </c>
      <c r="I56" t="s">
        <v>133</v>
      </c>
      <c r="J56" t="s">
        <v>135</v>
      </c>
    </row>
    <row r="57" spans="1:10" x14ac:dyDescent="0.45">
      <c r="A57" t="s">
        <v>60</v>
      </c>
      <c r="B57" t="str">
        <f>IFERROR(INDEX('Bank Statement'!$D$2:$D$101, MATCH(A57, 'Bank Statement'!$B$2:$B$101, 0)), "NOT FOUND")</f>
        <v>Credit</v>
      </c>
      <c r="C57" s="5">
        <f>IFERROR(INDEX('Bank Statement'!$A$2:$A$101, MATCH(A57, 'Bank Statement'!$B$2:$B$101, 0)), "NOT FOUND")</f>
        <v>45779</v>
      </c>
      <c r="D57" t="str">
        <f>IFERROR(INDEX('Bank Statement'!$C$2:$C$101, MATCH(A57, 'Bank Statement'!$B$2:$B$101, 0)), "NOT FOUND")</f>
        <v>Refund - ZephyrTech</v>
      </c>
      <c r="E57" s="3">
        <f>IFERROR(INDEX('Bank Statement'!$E$2:$E$101, MATCH(A57, 'Bank Statement'!$B$2:$B$101, 0)), "NOT FOUND")</f>
        <v>30419.599999999999</v>
      </c>
      <c r="F57" s="5">
        <f>IFERROR(INDEX('Cash Book'!$A$2:$A$101, MATCH(A57, 'Cash Book'!$B$2:$B$101, 0)), "NOT FOUND")</f>
        <v>45779</v>
      </c>
      <c r="G57" t="str">
        <f>IFERROR(INDEX('Cash Book'!$C$2:$C$101, MATCH(A57, 'Cash Book'!$B$2:$B$101, 0)), "NOT FOUND")</f>
        <v>Refund - ZephyrTech</v>
      </c>
      <c r="H57" s="7">
        <f>IFERROR(INDEX('Cash Book'!$E$2:$E$101, MATCH(A57, 'Cash Book'!$B$2:$B$101, 0)), "NOT FOUND")</f>
        <v>30419.599999999999</v>
      </c>
      <c r="I57" t="s">
        <v>133</v>
      </c>
      <c r="J57" t="s">
        <v>135</v>
      </c>
    </row>
    <row r="58" spans="1:10" x14ac:dyDescent="0.45">
      <c r="A58" t="s">
        <v>61</v>
      </c>
      <c r="B58" t="str">
        <f>IFERROR(INDEX('Bank Statement'!$D$2:$D$101, MATCH(A58, 'Bank Statement'!$B$2:$B$101, 0)), "NOT FOUND")</f>
        <v>Credit</v>
      </c>
      <c r="C58" s="5">
        <f>IFERROR(INDEX('Bank Statement'!$A$2:$A$101, MATCH(A58, 'Bank Statement'!$B$2:$B$101, 0)), "NOT FOUND")</f>
        <v>45808</v>
      </c>
      <c r="D58" t="str">
        <f>IFERROR(INDEX('Bank Statement'!$C$2:$C$101, MATCH(A58, 'Bank Statement'!$B$2:$B$101, 0)), "NOT FOUND")</f>
        <v>ATM Withdrawal</v>
      </c>
      <c r="E58" s="3">
        <f>IFERROR(INDEX('Bank Statement'!$E$2:$E$101, MATCH(A58, 'Bank Statement'!$B$2:$B$101, 0)), "NOT FOUND")</f>
        <v>5266.63</v>
      </c>
      <c r="F58" s="5">
        <f>IFERROR(INDEX('Cash Book'!$A$2:$A$101, MATCH(A58, 'Cash Book'!$B$2:$B$101, 0)), "NOT FOUND")</f>
        <v>45808</v>
      </c>
      <c r="G58" t="str">
        <f>IFERROR(INDEX('Cash Book'!$C$2:$C$101, MATCH(A58, 'Cash Book'!$B$2:$B$101, 0)), "NOT FOUND")</f>
        <v>ATM Withdrawal</v>
      </c>
      <c r="H58" s="7">
        <f>IFERROR(INDEX('Cash Book'!$E$2:$E$101, MATCH(A58, 'Cash Book'!$B$2:$B$101, 0)), "NOT FOUND")</f>
        <v>5266.63</v>
      </c>
      <c r="I58" t="s">
        <v>133</v>
      </c>
      <c r="J58" t="s">
        <v>135</v>
      </c>
    </row>
    <row r="59" spans="1:10" x14ac:dyDescent="0.45">
      <c r="A59" t="s">
        <v>62</v>
      </c>
      <c r="B59" t="str">
        <f>IFERROR(INDEX('Bank Statement'!$D$2:$D$101, MATCH(A59, 'Bank Statement'!$B$2:$B$101, 0)), "NOT FOUND")</f>
        <v>Credit</v>
      </c>
      <c r="C59" s="5">
        <f>IFERROR(INDEX('Bank Statement'!$A$2:$A$101, MATCH(A59, 'Bank Statement'!$B$2:$B$101, 0)), "NOT FOUND")</f>
        <v>45797</v>
      </c>
      <c r="D59" t="str">
        <f>IFERROR(INDEX('Bank Statement'!$C$2:$C$101, MATCH(A59, 'Bank Statement'!$B$2:$B$101, 0)), "NOT FOUND")</f>
        <v>Cheque Deposit - Aria Fintech</v>
      </c>
      <c r="E59" s="3">
        <f>IFERROR(INDEX('Bank Statement'!$E$2:$E$101, MATCH(A59, 'Bank Statement'!$B$2:$B$101, 0)), "NOT FOUND")</f>
        <v>40675.15</v>
      </c>
      <c r="F59" s="5">
        <f>IFERROR(INDEX('Cash Book'!$A$2:$A$101, MATCH(A59, 'Cash Book'!$B$2:$B$101, 0)), "NOT FOUND")</f>
        <v>45797</v>
      </c>
      <c r="G59" t="str">
        <f>IFERROR(INDEX('Cash Book'!$C$2:$C$101, MATCH(A59, 'Cash Book'!$B$2:$B$101, 0)), "NOT FOUND")</f>
        <v>Cheque Deposit - Aria Fintech</v>
      </c>
      <c r="H59" s="7">
        <f>IFERROR(INDEX('Cash Book'!$E$2:$E$101, MATCH(A59, 'Cash Book'!$B$2:$B$101, 0)), "NOT FOUND")</f>
        <v>40675.15</v>
      </c>
      <c r="I59" t="s">
        <v>133</v>
      </c>
      <c r="J59" t="s">
        <v>135</v>
      </c>
    </row>
    <row r="60" spans="1:10" x14ac:dyDescent="0.45">
      <c r="A60" t="s">
        <v>63</v>
      </c>
      <c r="B60" t="str">
        <f>IFERROR(INDEX('Bank Statement'!$D$2:$D$101, MATCH(A60, 'Bank Statement'!$B$2:$B$101, 0)), "NOT FOUND")</f>
        <v>Credit</v>
      </c>
      <c r="C60" s="5">
        <f>IFERROR(INDEX('Bank Statement'!$A$2:$A$101, MATCH(A60, 'Bank Statement'!$B$2:$B$101, 0)), "NOT FOUND")</f>
        <v>45781</v>
      </c>
      <c r="D60" t="str">
        <f>IFERROR(INDEX('Bank Statement'!$C$2:$C$101, MATCH(A60, 'Bank Statement'!$B$2:$B$101, 0)), "NOT FOUND")</f>
        <v>Staff Reimbursement - Travel</v>
      </c>
      <c r="E60" s="3">
        <f>IFERROR(INDEX('Bank Statement'!$E$2:$E$101, MATCH(A60, 'Bank Statement'!$B$2:$B$101, 0)), "NOT FOUND")</f>
        <v>34945.68</v>
      </c>
      <c r="F60" s="5" t="str">
        <f>IFERROR(INDEX('Cash Book'!$A$2:$A$101, MATCH(A60, 'Cash Book'!$B$2:$B$101, 0)), "NOT FOUND")</f>
        <v>NOT FOUND</v>
      </c>
      <c r="G60" t="str">
        <f>IFERROR(INDEX('Cash Book'!$C$2:$C$101, MATCH(A60, 'Cash Book'!$B$2:$B$101, 0)), "NOT FOUND")</f>
        <v>NOT FOUND</v>
      </c>
      <c r="H60" s="7" t="str">
        <f>IFERROR(INDEX('Cash Book'!$E$2:$E$101, MATCH(A60, 'Cash Book'!$B$2:$B$101, 0)), "NOT FOUND")</f>
        <v>NOT FOUND</v>
      </c>
      <c r="I60" t="s">
        <v>134</v>
      </c>
      <c r="J60" s="8">
        <v>34945.68</v>
      </c>
    </row>
    <row r="61" spans="1:10" x14ac:dyDescent="0.45">
      <c r="A61" t="s">
        <v>64</v>
      </c>
      <c r="B61" t="str">
        <f>IFERROR(INDEX('Bank Statement'!$D$2:$D$101, MATCH(A61, 'Bank Statement'!$B$2:$B$101, 0)), "NOT FOUND")</f>
        <v>Debit</v>
      </c>
      <c r="C61" s="5">
        <f>IFERROR(INDEX('Bank Statement'!$A$2:$A$101, MATCH(A61, 'Bank Statement'!$B$2:$B$101, 0)), "NOT FOUND")</f>
        <v>45780</v>
      </c>
      <c r="D61" t="str">
        <f>IFERROR(INDEX('Bank Statement'!$C$2:$C$101, MATCH(A61, 'Bank Statement'!$B$2:$B$101, 0)), "NOT FOUND")</f>
        <v>Direct Credit - Stripe</v>
      </c>
      <c r="E61" s="3">
        <f>IFERROR(INDEX('Bank Statement'!$E$2:$E$101, MATCH(A61, 'Bank Statement'!$B$2:$B$101, 0)), "NOT FOUND")</f>
        <v>39613.699999999997</v>
      </c>
      <c r="F61" s="5">
        <f>IFERROR(INDEX('Cash Book'!$A$2:$A$101, MATCH(A61, 'Cash Book'!$B$2:$B$101, 0)), "NOT FOUND")</f>
        <v>45780</v>
      </c>
      <c r="G61" t="str">
        <f>IFERROR(INDEX('Cash Book'!$C$2:$C$101, MATCH(A61, 'Cash Book'!$B$2:$B$101, 0)), "NOT FOUND")</f>
        <v>Direct Credit - Stripe</v>
      </c>
      <c r="H61" s="7">
        <f>IFERROR(INDEX('Cash Book'!$E$2:$E$101, MATCH(A61, 'Cash Book'!$B$2:$B$101, 0)), "NOT FOUND")</f>
        <v>39613.699999999997</v>
      </c>
      <c r="I61" t="s">
        <v>133</v>
      </c>
      <c r="J61" t="s">
        <v>135</v>
      </c>
    </row>
    <row r="62" spans="1:10" x14ac:dyDescent="0.45">
      <c r="A62" t="s">
        <v>65</v>
      </c>
      <c r="B62" t="str">
        <f>IFERROR(INDEX('Bank Statement'!$D$2:$D$101, MATCH(A62, 'Bank Statement'!$B$2:$B$101, 0)), "NOT FOUND")</f>
        <v>Debit</v>
      </c>
      <c r="C62" s="5">
        <f>IFERROR(INDEX('Bank Statement'!$A$2:$A$101, MATCH(A62, 'Bank Statement'!$B$2:$B$101, 0)), "NOT FOUND")</f>
        <v>45784</v>
      </c>
      <c r="D62" t="str">
        <f>IFERROR(INDEX('Bank Statement'!$C$2:$C$101, MATCH(A62, 'Bank Statement'!$B$2:$B$101, 0)), "NOT FOUND")</f>
        <v>Payment to Revanta Designs</v>
      </c>
      <c r="E62" s="3">
        <f>IFERROR(INDEX('Bank Statement'!$E$2:$E$101, MATCH(A62, 'Bank Statement'!$B$2:$B$101, 0)), "NOT FOUND")</f>
        <v>14701.81</v>
      </c>
      <c r="F62" s="5">
        <f>IFERROR(INDEX('Cash Book'!$A$2:$A$101, MATCH(A62, 'Cash Book'!$B$2:$B$101, 0)), "NOT FOUND")</f>
        <v>45784</v>
      </c>
      <c r="G62" t="str">
        <f>IFERROR(INDEX('Cash Book'!$C$2:$C$101, MATCH(A62, 'Cash Book'!$B$2:$B$101, 0)), "NOT FOUND")</f>
        <v>Payment to Revanta Designs</v>
      </c>
      <c r="H62" s="7">
        <f>IFERROR(INDEX('Cash Book'!$E$2:$E$101, MATCH(A62, 'Cash Book'!$B$2:$B$101, 0)), "NOT FOUND")</f>
        <v>14701.81</v>
      </c>
      <c r="I62" t="s">
        <v>133</v>
      </c>
      <c r="J62" t="s">
        <v>135</v>
      </c>
    </row>
    <row r="63" spans="1:10" x14ac:dyDescent="0.45">
      <c r="A63" t="s">
        <v>66</v>
      </c>
      <c r="B63" t="str">
        <f>IFERROR(INDEX('Bank Statement'!$D$2:$D$101, MATCH(A63, 'Bank Statement'!$B$2:$B$101, 0)), "NOT FOUND")</f>
        <v>Credit</v>
      </c>
      <c r="C63" s="5">
        <f>IFERROR(INDEX('Bank Statement'!$A$2:$A$101, MATCH(A63, 'Bank Statement'!$B$2:$B$101, 0)), "NOT FOUND")</f>
        <v>45799</v>
      </c>
      <c r="D63" t="str">
        <f>IFERROR(INDEX('Bank Statement'!$C$2:$C$101, MATCH(A63, 'Bank Statement'!$B$2:$B$101, 0)), "NOT FOUND")</f>
        <v>Hosting - AWS</v>
      </c>
      <c r="E63" s="3">
        <f>IFERROR(INDEX('Bank Statement'!$E$2:$E$101, MATCH(A63, 'Bank Statement'!$B$2:$B$101, 0)), "NOT FOUND")</f>
        <v>27704.86</v>
      </c>
      <c r="F63" s="5">
        <f>IFERROR(INDEX('Cash Book'!$A$2:$A$101, MATCH(A63, 'Cash Book'!$B$2:$B$101, 0)), "NOT FOUND")</f>
        <v>45799</v>
      </c>
      <c r="G63" t="str">
        <f>IFERROR(INDEX('Cash Book'!$C$2:$C$101, MATCH(A63, 'Cash Book'!$B$2:$B$101, 0)), "NOT FOUND")</f>
        <v>Hosting - AWS</v>
      </c>
      <c r="H63" s="7">
        <f>IFERROR(INDEX('Cash Book'!$E$2:$E$101, MATCH(A63, 'Cash Book'!$B$2:$B$101, 0)), "NOT FOUND")</f>
        <v>27704.86</v>
      </c>
      <c r="I63" t="s">
        <v>133</v>
      </c>
      <c r="J63" t="s">
        <v>135</v>
      </c>
    </row>
    <row r="64" spans="1:10" x14ac:dyDescent="0.45">
      <c r="A64" t="s">
        <v>67</v>
      </c>
      <c r="B64" t="str">
        <f>IFERROR(INDEX('Bank Statement'!$D$2:$D$101, MATCH(A64, 'Bank Statement'!$B$2:$B$101, 0)), "NOT FOUND")</f>
        <v>Credit</v>
      </c>
      <c r="C64" s="5">
        <f>IFERROR(INDEX('Bank Statement'!$A$2:$A$101, MATCH(A64, 'Bank Statement'!$B$2:$B$101, 0)), "NOT FOUND")</f>
        <v>45792</v>
      </c>
      <c r="D64" t="str">
        <f>IFERROR(INDEX('Bank Statement'!$C$2:$C$101, MATCH(A64, 'Bank Statement'!$B$2:$B$101, 0)), "NOT FOUND")</f>
        <v>Vendor Payment - Printica</v>
      </c>
      <c r="E64" s="3">
        <f>IFERROR(INDEX('Bank Statement'!$E$2:$E$101, MATCH(A64, 'Bank Statement'!$B$2:$B$101, 0)), "NOT FOUND")</f>
        <v>4859.01</v>
      </c>
      <c r="F64" s="5" t="str">
        <f>IFERROR(INDEX('Cash Book'!$A$2:$A$101, MATCH(A64, 'Cash Book'!$B$2:$B$101, 0)), "NOT FOUND")</f>
        <v>NOT FOUND</v>
      </c>
      <c r="G64" t="str">
        <f>IFERROR(INDEX('Cash Book'!$C$2:$C$101, MATCH(A64, 'Cash Book'!$B$2:$B$101, 0)), "NOT FOUND")</f>
        <v>NOT FOUND</v>
      </c>
      <c r="H64" s="7" t="str">
        <f>IFERROR(INDEX('Cash Book'!$E$2:$E$101, MATCH(A64, 'Cash Book'!$B$2:$B$101, 0)), "NOT FOUND")</f>
        <v>NOT FOUND</v>
      </c>
      <c r="I64" t="s">
        <v>134</v>
      </c>
      <c r="J64" s="8">
        <v>4859.01</v>
      </c>
    </row>
    <row r="65" spans="1:10" x14ac:dyDescent="0.45">
      <c r="A65" t="s">
        <v>68</v>
      </c>
      <c r="B65" t="str">
        <f>IFERROR(INDEX('Bank Statement'!$D$2:$D$101, MATCH(A65, 'Bank Statement'!$B$2:$B$101, 0)), "NOT FOUND")</f>
        <v>Credit</v>
      </c>
      <c r="C65" s="5">
        <f>IFERROR(INDEX('Bank Statement'!$A$2:$A$101, MATCH(A65, 'Bank Statement'!$B$2:$B$101, 0)), "NOT FOUND")</f>
        <v>45786</v>
      </c>
      <c r="D65" t="str">
        <f>IFERROR(INDEX('Bank Statement'!$C$2:$C$101, MATCH(A65, 'Bank Statement'!$B$2:$B$101, 0)), "NOT FOUND")</f>
        <v>Software Subscription - Zoho</v>
      </c>
      <c r="E65" s="3">
        <f>IFERROR(INDEX('Bank Statement'!$E$2:$E$101, MATCH(A65, 'Bank Statement'!$B$2:$B$101, 0)), "NOT FOUND")</f>
        <v>56028.93</v>
      </c>
      <c r="F65" s="5">
        <f>IFERROR(INDEX('Cash Book'!$A$2:$A$101, MATCH(A65, 'Cash Book'!$B$2:$B$101, 0)), "NOT FOUND")</f>
        <v>45786</v>
      </c>
      <c r="G65" t="str">
        <f>IFERROR(INDEX('Cash Book'!$C$2:$C$101, MATCH(A65, 'Cash Book'!$B$2:$B$101, 0)), "NOT FOUND")</f>
        <v>Software Subscription - Zoho</v>
      </c>
      <c r="H65" s="7">
        <f>IFERROR(INDEX('Cash Book'!$E$2:$E$101, MATCH(A65, 'Cash Book'!$B$2:$B$101, 0)), "NOT FOUND")</f>
        <v>56028.93</v>
      </c>
      <c r="I65" t="s">
        <v>133</v>
      </c>
      <c r="J65" t="s">
        <v>135</v>
      </c>
    </row>
    <row r="66" spans="1:10" x14ac:dyDescent="0.45">
      <c r="A66" t="s">
        <v>69</v>
      </c>
      <c r="B66" t="str">
        <f>IFERROR(INDEX('Bank Statement'!$D$2:$D$101, MATCH(A66, 'Bank Statement'!$B$2:$B$101, 0)), "NOT FOUND")</f>
        <v>Debit</v>
      </c>
      <c r="C66" s="5">
        <f>IFERROR(INDEX('Bank Statement'!$A$2:$A$101, MATCH(A66, 'Bank Statement'!$B$2:$B$101, 0)), "NOT FOUND")</f>
        <v>45789</v>
      </c>
      <c r="D66" t="str">
        <f>IFERROR(INDEX('Bank Statement'!$C$2:$C$101, MATCH(A66, 'Bank Statement'!$B$2:$B$101, 0)), "NOT FOUND")</f>
        <v>Hosting - AWS</v>
      </c>
      <c r="E66" s="3">
        <f>IFERROR(INDEX('Bank Statement'!$E$2:$E$101, MATCH(A66, 'Bank Statement'!$B$2:$B$101, 0)), "NOT FOUND")</f>
        <v>9885.94</v>
      </c>
      <c r="F66" s="5" t="str">
        <f>IFERROR(INDEX('Cash Book'!$A$2:$A$101, MATCH(A66, 'Cash Book'!$B$2:$B$101, 0)), "NOT FOUND")</f>
        <v>NOT FOUND</v>
      </c>
      <c r="G66" t="str">
        <f>IFERROR(INDEX('Cash Book'!$C$2:$C$101, MATCH(A66, 'Cash Book'!$B$2:$B$101, 0)), "NOT FOUND")</f>
        <v>NOT FOUND</v>
      </c>
      <c r="H66" s="7" t="str">
        <f>IFERROR(INDEX('Cash Book'!$E$2:$E$101, MATCH(A66, 'Cash Book'!$B$2:$B$101, 0)), "NOT FOUND")</f>
        <v>NOT FOUND</v>
      </c>
      <c r="I66" t="s">
        <v>134</v>
      </c>
      <c r="J66" s="8">
        <v>9885.94</v>
      </c>
    </row>
    <row r="67" spans="1:10" x14ac:dyDescent="0.45">
      <c r="A67" t="s">
        <v>70</v>
      </c>
      <c r="B67" t="str">
        <f>IFERROR(INDEX('Bank Statement'!$D$2:$D$101, MATCH(A67, 'Bank Statement'!$B$2:$B$101, 0)), "NOT FOUND")</f>
        <v>Debit</v>
      </c>
      <c r="C67" s="5">
        <f>IFERROR(INDEX('Bank Statement'!$A$2:$A$101, MATCH(A67, 'Bank Statement'!$B$2:$B$101, 0)), "NOT FOUND")</f>
        <v>45803</v>
      </c>
      <c r="D67" t="str">
        <f>IFERROR(INDEX('Bank Statement'!$C$2:$C$101, MATCH(A67, 'Bank Statement'!$B$2:$B$101, 0)), "NOT FOUND")</f>
        <v>ATM Withdrawal</v>
      </c>
      <c r="E67" s="3">
        <f>IFERROR(INDEX('Bank Statement'!$E$2:$E$101, MATCH(A67, 'Bank Statement'!$B$2:$B$101, 0)), "NOT FOUND")</f>
        <v>965.47</v>
      </c>
      <c r="F67" s="5" t="str">
        <f>IFERROR(INDEX('Cash Book'!$A$2:$A$101, MATCH(A67, 'Cash Book'!$B$2:$B$101, 0)), "NOT FOUND")</f>
        <v>NOT FOUND</v>
      </c>
      <c r="G67" t="str">
        <f>IFERROR(INDEX('Cash Book'!$C$2:$C$101, MATCH(A67, 'Cash Book'!$B$2:$B$101, 0)), "NOT FOUND")</f>
        <v>NOT FOUND</v>
      </c>
      <c r="H67" s="7" t="str">
        <f>IFERROR(INDEX('Cash Book'!$E$2:$E$101, MATCH(A67, 'Cash Book'!$B$2:$B$101, 0)), "NOT FOUND")</f>
        <v>NOT FOUND</v>
      </c>
      <c r="I67" t="s">
        <v>134</v>
      </c>
      <c r="J67" s="8">
        <v>965.47</v>
      </c>
    </row>
    <row r="68" spans="1:10" x14ac:dyDescent="0.45">
      <c r="A68" t="s">
        <v>71</v>
      </c>
      <c r="B68" t="str">
        <f>IFERROR(INDEX('Bank Statement'!$D$2:$D$101, MATCH(A68, 'Bank Statement'!$B$2:$B$101, 0)), "NOT FOUND")</f>
        <v>Credit</v>
      </c>
      <c r="C68" s="5">
        <f>IFERROR(INDEX('Bank Statement'!$A$2:$A$101, MATCH(A68, 'Bank Statement'!$B$2:$B$101, 0)), "NOT FOUND")</f>
        <v>45781</v>
      </c>
      <c r="D68" t="str">
        <f>IFERROR(INDEX('Bank Statement'!$C$2:$C$101, MATCH(A68, 'Bank Statement'!$B$2:$B$101, 0)), "NOT FOUND")</f>
        <v>Software Subscription - Zoho</v>
      </c>
      <c r="E68" s="3">
        <f>IFERROR(INDEX('Bank Statement'!$E$2:$E$101, MATCH(A68, 'Bank Statement'!$B$2:$B$101, 0)), "NOT FOUND")</f>
        <v>16235.72</v>
      </c>
      <c r="F68" s="5" t="str">
        <f>IFERROR(INDEX('Cash Book'!$A$2:$A$101, MATCH(A68, 'Cash Book'!$B$2:$B$101, 0)), "NOT FOUND")</f>
        <v>NOT FOUND</v>
      </c>
      <c r="G68" t="str">
        <f>IFERROR(INDEX('Cash Book'!$C$2:$C$101, MATCH(A68, 'Cash Book'!$B$2:$B$101, 0)), "NOT FOUND")</f>
        <v>NOT FOUND</v>
      </c>
      <c r="H68" s="7" t="str">
        <f>IFERROR(INDEX('Cash Book'!$E$2:$E$101, MATCH(A68, 'Cash Book'!$B$2:$B$101, 0)), "NOT FOUND")</f>
        <v>NOT FOUND</v>
      </c>
      <c r="I68" t="s">
        <v>134</v>
      </c>
      <c r="J68" s="8">
        <v>16235.72</v>
      </c>
    </row>
    <row r="69" spans="1:10" x14ac:dyDescent="0.45">
      <c r="A69" t="s">
        <v>72</v>
      </c>
      <c r="B69" t="str">
        <f>IFERROR(INDEX('Bank Statement'!$D$2:$D$101, MATCH(A69, 'Bank Statement'!$B$2:$B$101, 0)), "NOT FOUND")</f>
        <v>Credit</v>
      </c>
      <c r="C69" s="5">
        <f>IFERROR(INDEX('Bank Statement'!$A$2:$A$101, MATCH(A69, 'Bank Statement'!$B$2:$B$101, 0)), "NOT FOUND")</f>
        <v>45795</v>
      </c>
      <c r="D69" t="str">
        <f>IFERROR(INDEX('Bank Statement'!$C$2:$C$101, MATCH(A69, 'Bank Statement'!$B$2:$B$101, 0)), "NOT FOUND")</f>
        <v>Software Subscription - Zoho</v>
      </c>
      <c r="E69" s="3">
        <f>IFERROR(INDEX('Bank Statement'!$E$2:$E$101, MATCH(A69, 'Bank Statement'!$B$2:$B$101, 0)), "NOT FOUND")</f>
        <v>16704.72</v>
      </c>
      <c r="F69" s="5" t="str">
        <f>IFERROR(INDEX('Cash Book'!$A$2:$A$101, MATCH(A69, 'Cash Book'!$B$2:$B$101, 0)), "NOT FOUND")</f>
        <v>NOT FOUND</v>
      </c>
      <c r="G69" t="str">
        <f>IFERROR(INDEX('Cash Book'!$C$2:$C$101, MATCH(A69, 'Cash Book'!$B$2:$B$101, 0)), "NOT FOUND")</f>
        <v>NOT FOUND</v>
      </c>
      <c r="H69" s="7" t="str">
        <f>IFERROR(INDEX('Cash Book'!$E$2:$E$101, MATCH(A69, 'Cash Book'!$B$2:$B$101, 0)), "NOT FOUND")</f>
        <v>NOT FOUND</v>
      </c>
      <c r="I69" t="s">
        <v>134</v>
      </c>
      <c r="J69" s="8">
        <v>16704.72</v>
      </c>
    </row>
    <row r="70" spans="1:10" x14ac:dyDescent="0.45">
      <c r="A70" t="s">
        <v>73</v>
      </c>
      <c r="B70" t="str">
        <f>IFERROR(INDEX('Bank Statement'!$D$2:$D$101, MATCH(A70, 'Bank Statement'!$B$2:$B$101, 0)), "NOT FOUND")</f>
        <v>Debit</v>
      </c>
      <c r="C70" s="5">
        <f>IFERROR(INDEX('Bank Statement'!$A$2:$A$101, MATCH(A70, 'Bank Statement'!$B$2:$B$101, 0)), "NOT FOUND")</f>
        <v>45788</v>
      </c>
      <c r="D70" t="str">
        <f>IFERROR(INDEX('Bank Statement'!$C$2:$C$101, MATCH(A70, 'Bank Statement'!$B$2:$B$101, 0)), "NOT FOUND")</f>
        <v>Bank Charges - ICICI</v>
      </c>
      <c r="E70" s="3">
        <f>IFERROR(INDEX('Bank Statement'!$E$2:$E$101, MATCH(A70, 'Bank Statement'!$B$2:$B$101, 0)), "NOT FOUND")</f>
        <v>41406.080000000002</v>
      </c>
      <c r="F70" s="5" t="str">
        <f>IFERROR(INDEX('Cash Book'!$A$2:$A$101, MATCH(A70, 'Cash Book'!$B$2:$B$101, 0)), "NOT FOUND")</f>
        <v>NOT FOUND</v>
      </c>
      <c r="G70" t="str">
        <f>IFERROR(INDEX('Cash Book'!$C$2:$C$101, MATCH(A70, 'Cash Book'!$B$2:$B$101, 0)), "NOT FOUND")</f>
        <v>NOT FOUND</v>
      </c>
      <c r="H70" s="7" t="str">
        <f>IFERROR(INDEX('Cash Book'!$E$2:$E$101, MATCH(A70, 'Cash Book'!$B$2:$B$101, 0)), "NOT FOUND")</f>
        <v>NOT FOUND</v>
      </c>
      <c r="I70" t="s">
        <v>134</v>
      </c>
      <c r="J70" s="8">
        <v>41406.080000000002</v>
      </c>
    </row>
    <row r="71" spans="1:10" x14ac:dyDescent="0.45">
      <c r="A71" t="s">
        <v>74</v>
      </c>
      <c r="B71" t="str">
        <f>IFERROR(INDEX('Bank Statement'!$D$2:$D$101, MATCH(A71, 'Bank Statement'!$B$2:$B$101, 0)), "NOT FOUND")</f>
        <v>Credit</v>
      </c>
      <c r="C71" s="5">
        <f>IFERROR(INDEX('Bank Statement'!$A$2:$A$101, MATCH(A71, 'Bank Statement'!$B$2:$B$101, 0)), "NOT FOUND")</f>
        <v>45793</v>
      </c>
      <c r="D71" t="str">
        <f>IFERROR(INDEX('Bank Statement'!$C$2:$C$101, MATCH(A71, 'Bank Statement'!$B$2:$B$101, 0)), "NOT FOUND")</f>
        <v>Utilities - Electricity Board</v>
      </c>
      <c r="E71" s="3">
        <f>IFERROR(INDEX('Bank Statement'!$E$2:$E$101, MATCH(A71, 'Bank Statement'!$B$2:$B$101, 0)), "NOT FOUND")</f>
        <v>54367.519999999997</v>
      </c>
      <c r="F71" s="5">
        <f>IFERROR(INDEX('Cash Book'!$A$2:$A$101, MATCH(A71, 'Cash Book'!$B$2:$B$101, 0)), "NOT FOUND")</f>
        <v>45793</v>
      </c>
      <c r="G71" t="str">
        <f>IFERROR(INDEX('Cash Book'!$C$2:$C$101, MATCH(A71, 'Cash Book'!$B$2:$B$101, 0)), "NOT FOUND")</f>
        <v>Utilities - Electricity Board</v>
      </c>
      <c r="H71" s="7">
        <f>IFERROR(INDEX('Cash Book'!$E$2:$E$101, MATCH(A71, 'Cash Book'!$B$2:$B$101, 0)), "NOT FOUND")</f>
        <v>54367.519999999997</v>
      </c>
      <c r="I71" t="s">
        <v>133</v>
      </c>
      <c r="J71" t="s">
        <v>135</v>
      </c>
    </row>
    <row r="72" spans="1:10" x14ac:dyDescent="0.45">
      <c r="A72" t="s">
        <v>75</v>
      </c>
      <c r="B72" t="str">
        <f>IFERROR(INDEX('Bank Statement'!$D$2:$D$101, MATCH(A72, 'Bank Statement'!$B$2:$B$101, 0)), "NOT FOUND")</f>
        <v>Credit</v>
      </c>
      <c r="C72" s="5">
        <f>IFERROR(INDEX('Bank Statement'!$A$2:$A$101, MATCH(A72, 'Bank Statement'!$B$2:$B$101, 0)), "NOT FOUND")</f>
        <v>45798</v>
      </c>
      <c r="D72" t="str">
        <f>IFERROR(INDEX('Bank Statement'!$C$2:$C$101, MATCH(A72, 'Bank Statement'!$B$2:$B$101, 0)), "NOT FOUND")</f>
        <v>Direct Credit - Stripe</v>
      </c>
      <c r="E72" s="3">
        <f>IFERROR(INDEX('Bank Statement'!$E$2:$E$101, MATCH(A72, 'Bank Statement'!$B$2:$B$101, 0)), "NOT FOUND")</f>
        <v>49846.21</v>
      </c>
      <c r="F72" s="5">
        <f>IFERROR(INDEX('Cash Book'!$A$2:$A$101, MATCH(A72, 'Cash Book'!$B$2:$B$101, 0)), "NOT FOUND")</f>
        <v>45798</v>
      </c>
      <c r="G72" t="str">
        <f>IFERROR(INDEX('Cash Book'!$C$2:$C$101, MATCH(A72, 'Cash Book'!$B$2:$B$101, 0)), "NOT FOUND")</f>
        <v>Direct Credit - Stripe</v>
      </c>
      <c r="H72" s="7">
        <f>IFERROR(INDEX('Cash Book'!$E$2:$E$101, MATCH(A72, 'Cash Book'!$B$2:$B$101, 0)), "NOT FOUND")</f>
        <v>49846.21</v>
      </c>
      <c r="I72" t="s">
        <v>133</v>
      </c>
      <c r="J72" t="s">
        <v>135</v>
      </c>
    </row>
    <row r="73" spans="1:10" x14ac:dyDescent="0.45">
      <c r="A73" t="s">
        <v>76</v>
      </c>
      <c r="B73" t="str">
        <f>IFERROR(INDEX('Bank Statement'!$D$2:$D$101, MATCH(A73, 'Bank Statement'!$B$2:$B$101, 0)), "NOT FOUND")</f>
        <v>Debit</v>
      </c>
      <c r="C73" s="5">
        <f>IFERROR(INDEX('Bank Statement'!$A$2:$A$101, MATCH(A73, 'Bank Statement'!$B$2:$B$101, 0)), "NOT FOUND")</f>
        <v>45788</v>
      </c>
      <c r="D73" t="str">
        <f>IFERROR(INDEX('Bank Statement'!$C$2:$C$101, MATCH(A73, 'Bank Statement'!$B$2:$B$101, 0)), "NOT FOUND")</f>
        <v>Software Subscription - Zoho</v>
      </c>
      <c r="E73" s="3">
        <f>IFERROR(INDEX('Bank Statement'!$E$2:$E$101, MATCH(A73, 'Bank Statement'!$B$2:$B$101, 0)), "NOT FOUND")</f>
        <v>38408.25</v>
      </c>
      <c r="F73" s="5">
        <f>IFERROR(INDEX('Cash Book'!$A$2:$A$101, MATCH(A73, 'Cash Book'!$B$2:$B$101, 0)), "NOT FOUND")</f>
        <v>45788</v>
      </c>
      <c r="G73" t="str">
        <f>IFERROR(INDEX('Cash Book'!$C$2:$C$101, MATCH(A73, 'Cash Book'!$B$2:$B$101, 0)), "NOT FOUND")</f>
        <v>Software Subscription - Zoho</v>
      </c>
      <c r="H73" s="7">
        <f>IFERROR(INDEX('Cash Book'!$E$2:$E$101, MATCH(A73, 'Cash Book'!$B$2:$B$101, 0)), "NOT FOUND")</f>
        <v>38408.25</v>
      </c>
      <c r="I73" t="s">
        <v>133</v>
      </c>
      <c r="J73" t="s">
        <v>135</v>
      </c>
    </row>
    <row r="74" spans="1:10" x14ac:dyDescent="0.45">
      <c r="A74" t="s">
        <v>77</v>
      </c>
      <c r="B74" t="str">
        <f>IFERROR(INDEX('Bank Statement'!$D$2:$D$101, MATCH(A74, 'Bank Statement'!$B$2:$B$101, 0)), "NOT FOUND")</f>
        <v>Debit</v>
      </c>
      <c r="C74" s="5">
        <f>IFERROR(INDEX('Bank Statement'!$A$2:$A$101, MATCH(A74, 'Bank Statement'!$B$2:$B$101, 0)), "NOT FOUND")</f>
        <v>45801</v>
      </c>
      <c r="D74" t="str">
        <f>IFERROR(INDEX('Bank Statement'!$C$2:$C$101, MATCH(A74, 'Bank Statement'!$B$2:$B$101, 0)), "NOT FOUND")</f>
        <v>UPI Payment - UrbanClap</v>
      </c>
      <c r="E74" s="3">
        <f>IFERROR(INDEX('Bank Statement'!$E$2:$E$101, MATCH(A74, 'Bank Statement'!$B$2:$B$101, 0)), "NOT FOUND")</f>
        <v>33324.99</v>
      </c>
      <c r="F74" s="5" t="str">
        <f>IFERROR(INDEX('Cash Book'!$A$2:$A$101, MATCH(A74, 'Cash Book'!$B$2:$B$101, 0)), "NOT FOUND")</f>
        <v>NOT FOUND</v>
      </c>
      <c r="G74" t="str">
        <f>IFERROR(INDEX('Cash Book'!$C$2:$C$101, MATCH(A74, 'Cash Book'!$B$2:$B$101, 0)), "NOT FOUND")</f>
        <v>NOT FOUND</v>
      </c>
      <c r="H74" s="7" t="str">
        <f>IFERROR(INDEX('Cash Book'!$E$2:$E$101, MATCH(A74, 'Cash Book'!$B$2:$B$101, 0)), "NOT FOUND")</f>
        <v>NOT FOUND</v>
      </c>
      <c r="I74" t="s">
        <v>134</v>
      </c>
      <c r="J74" s="8">
        <v>33324.99</v>
      </c>
    </row>
    <row r="75" spans="1:10" x14ac:dyDescent="0.45">
      <c r="A75" t="s">
        <v>78</v>
      </c>
      <c r="B75" t="str">
        <f>IFERROR(INDEX('Bank Statement'!$D$2:$D$101, MATCH(A75, 'Bank Statement'!$B$2:$B$101, 0)), "NOT FOUND")</f>
        <v>Credit</v>
      </c>
      <c r="C75" s="5">
        <f>IFERROR(INDEX('Bank Statement'!$A$2:$A$101, MATCH(A75, 'Bank Statement'!$B$2:$B$101, 0)), "NOT FOUND")</f>
        <v>45778</v>
      </c>
      <c r="D75" t="str">
        <f>IFERROR(INDEX('Bank Statement'!$C$2:$C$101, MATCH(A75, 'Bank Statement'!$B$2:$B$101, 0)), "NOT FOUND")</f>
        <v>Vendor Payment - Printica</v>
      </c>
      <c r="E75" s="3">
        <f>IFERROR(INDEX('Bank Statement'!$E$2:$E$101, MATCH(A75, 'Bank Statement'!$B$2:$B$101, 0)), "NOT FOUND")</f>
        <v>4977.01</v>
      </c>
      <c r="F75" s="5" t="str">
        <f>IFERROR(INDEX('Cash Book'!$A$2:$A$101, MATCH(A75, 'Cash Book'!$B$2:$B$101, 0)), "NOT FOUND")</f>
        <v>NOT FOUND</v>
      </c>
      <c r="G75" t="str">
        <f>IFERROR(INDEX('Cash Book'!$C$2:$C$101, MATCH(A75, 'Cash Book'!$B$2:$B$101, 0)), "NOT FOUND")</f>
        <v>NOT FOUND</v>
      </c>
      <c r="H75" s="7" t="str">
        <f>IFERROR(INDEX('Cash Book'!$E$2:$E$101, MATCH(A75, 'Cash Book'!$B$2:$B$101, 0)), "NOT FOUND")</f>
        <v>NOT FOUND</v>
      </c>
      <c r="I75" t="s">
        <v>134</v>
      </c>
      <c r="J75" s="8">
        <v>4977.01</v>
      </c>
    </row>
    <row r="76" spans="1:10" x14ac:dyDescent="0.45">
      <c r="A76" t="s">
        <v>79</v>
      </c>
      <c r="B76" t="str">
        <f>IFERROR(INDEX('Bank Statement'!$D$2:$D$101, MATCH(A76, 'Bank Statement'!$B$2:$B$101, 0)), "NOT FOUND")</f>
        <v>Credit</v>
      </c>
      <c r="C76" s="5">
        <f>IFERROR(INDEX('Bank Statement'!$A$2:$A$101, MATCH(A76, 'Bank Statement'!$B$2:$B$101, 0)), "NOT FOUND")</f>
        <v>45779</v>
      </c>
      <c r="D76" t="str">
        <f>IFERROR(INDEX('Bank Statement'!$C$2:$C$101, MATCH(A76, 'Bank Statement'!$B$2:$B$101, 0)), "NOT FOUND")</f>
        <v>UPI Receipt - Orbiz Solutions</v>
      </c>
      <c r="E76" s="3">
        <f>IFERROR(INDEX('Bank Statement'!$E$2:$E$101, MATCH(A76, 'Bank Statement'!$B$2:$B$101, 0)), "NOT FOUND")</f>
        <v>35159.32</v>
      </c>
      <c r="F76" s="5">
        <f>IFERROR(INDEX('Cash Book'!$A$2:$A$101, MATCH(A76, 'Cash Book'!$B$2:$B$101, 0)), "NOT FOUND")</f>
        <v>45779</v>
      </c>
      <c r="G76" t="str">
        <f>IFERROR(INDEX('Cash Book'!$C$2:$C$101, MATCH(A76, 'Cash Book'!$B$2:$B$101, 0)), "NOT FOUND")</f>
        <v>UPI Receipt - Orbiz Solutions</v>
      </c>
      <c r="H76" s="7">
        <f>IFERROR(INDEX('Cash Book'!$E$2:$E$101, MATCH(A76, 'Cash Book'!$B$2:$B$101, 0)), "NOT FOUND")</f>
        <v>35159.32</v>
      </c>
      <c r="I76" t="s">
        <v>133</v>
      </c>
      <c r="J76" t="s">
        <v>135</v>
      </c>
    </row>
    <row r="77" spans="1:10" x14ac:dyDescent="0.45">
      <c r="A77" t="s">
        <v>80</v>
      </c>
      <c r="B77" t="str">
        <f>IFERROR(INDEX('Bank Statement'!$D$2:$D$101, MATCH(A77, 'Bank Statement'!$B$2:$B$101, 0)), "NOT FOUND")</f>
        <v>Credit</v>
      </c>
      <c r="C77" s="5">
        <f>IFERROR(INDEX('Bank Statement'!$A$2:$A$101, MATCH(A77, 'Bank Statement'!$B$2:$B$101, 0)), "NOT FOUND")</f>
        <v>45782</v>
      </c>
      <c r="D77" t="str">
        <f>IFERROR(INDEX('Bank Statement'!$C$2:$C$101, MATCH(A77, 'Bank Statement'!$B$2:$B$101, 0)), "NOT FOUND")</f>
        <v>NEFT from NetEdge Systems</v>
      </c>
      <c r="E77" s="3">
        <f>IFERROR(INDEX('Bank Statement'!$E$2:$E$101, MATCH(A77, 'Bank Statement'!$B$2:$B$101, 0)), "NOT FOUND")</f>
        <v>18841.37</v>
      </c>
      <c r="F77" s="5">
        <f>IFERROR(INDEX('Cash Book'!$A$2:$A$101, MATCH(A77, 'Cash Book'!$B$2:$B$101, 0)), "NOT FOUND")</f>
        <v>45782</v>
      </c>
      <c r="G77" t="str">
        <f>IFERROR(INDEX('Cash Book'!$C$2:$C$101, MATCH(A77, 'Cash Book'!$B$2:$B$101, 0)), "NOT FOUND")</f>
        <v>NEFT from NetEdge Systems</v>
      </c>
      <c r="H77" s="7">
        <f>IFERROR(INDEX('Cash Book'!$E$2:$E$101, MATCH(A77, 'Cash Book'!$B$2:$B$101, 0)), "NOT FOUND")</f>
        <v>18841.37</v>
      </c>
      <c r="I77" t="s">
        <v>133</v>
      </c>
      <c r="J77" t="s">
        <v>135</v>
      </c>
    </row>
    <row r="78" spans="1:10" x14ac:dyDescent="0.45">
      <c r="A78" t="s">
        <v>81</v>
      </c>
      <c r="B78" t="str">
        <f>IFERROR(INDEX('Bank Statement'!$D$2:$D$101, MATCH(A78, 'Bank Statement'!$B$2:$B$101, 0)), "NOT FOUND")</f>
        <v>Debit</v>
      </c>
      <c r="C78" s="5">
        <f>IFERROR(INDEX('Bank Statement'!$A$2:$A$101, MATCH(A78, 'Bank Statement'!$B$2:$B$101, 0)), "NOT FOUND")</f>
        <v>45784</v>
      </c>
      <c r="D78" t="str">
        <f>IFERROR(INDEX('Bank Statement'!$C$2:$C$101, MATCH(A78, 'Bank Statement'!$B$2:$B$101, 0)), "NOT FOUND")</f>
        <v>Staff Reimbursement - Travel</v>
      </c>
      <c r="E78" s="3">
        <f>IFERROR(INDEX('Bank Statement'!$E$2:$E$101, MATCH(A78, 'Bank Statement'!$B$2:$B$101, 0)), "NOT FOUND")</f>
        <v>40182.54</v>
      </c>
      <c r="F78" s="5" t="str">
        <f>IFERROR(INDEX('Cash Book'!$A$2:$A$101, MATCH(A78, 'Cash Book'!$B$2:$B$101, 0)), "NOT FOUND")</f>
        <v>NOT FOUND</v>
      </c>
      <c r="G78" t="str">
        <f>IFERROR(INDEX('Cash Book'!$C$2:$C$101, MATCH(A78, 'Cash Book'!$B$2:$B$101, 0)), "NOT FOUND")</f>
        <v>NOT FOUND</v>
      </c>
      <c r="H78" s="7" t="str">
        <f>IFERROR(INDEX('Cash Book'!$E$2:$E$101, MATCH(A78, 'Cash Book'!$B$2:$B$101, 0)), "NOT FOUND")</f>
        <v>NOT FOUND</v>
      </c>
      <c r="I78" t="s">
        <v>134</v>
      </c>
      <c r="J78" s="8">
        <v>40182.54</v>
      </c>
    </row>
    <row r="79" spans="1:10" x14ac:dyDescent="0.45">
      <c r="A79" t="s">
        <v>82</v>
      </c>
      <c r="B79" t="str">
        <f>IFERROR(INDEX('Bank Statement'!$D$2:$D$101, MATCH(A79, 'Bank Statement'!$B$2:$B$101, 0)), "NOT FOUND")</f>
        <v>Credit</v>
      </c>
      <c r="C79" s="5">
        <f>IFERROR(INDEX('Bank Statement'!$A$2:$A$101, MATCH(A79, 'Bank Statement'!$B$2:$B$101, 0)), "NOT FOUND")</f>
        <v>45806</v>
      </c>
      <c r="D79" t="str">
        <f>IFERROR(INDEX('Bank Statement'!$C$2:$C$101, MATCH(A79, 'Bank Statement'!$B$2:$B$101, 0)), "NOT FOUND")</f>
        <v>Direct Credit - Stripe</v>
      </c>
      <c r="E79" s="3">
        <f>IFERROR(INDEX('Bank Statement'!$E$2:$E$101, MATCH(A79, 'Bank Statement'!$B$2:$B$101, 0)), "NOT FOUND")</f>
        <v>58443.3</v>
      </c>
      <c r="F79" s="5">
        <f>IFERROR(INDEX('Cash Book'!$A$2:$A$101, MATCH(A79, 'Cash Book'!$B$2:$B$101, 0)), "NOT FOUND")</f>
        <v>45806</v>
      </c>
      <c r="G79" t="str">
        <f>IFERROR(INDEX('Cash Book'!$C$2:$C$101, MATCH(A79, 'Cash Book'!$B$2:$B$101, 0)), "NOT FOUND")</f>
        <v>Direct Credit - Stripe</v>
      </c>
      <c r="H79" s="7">
        <f>IFERROR(INDEX('Cash Book'!$E$2:$E$101, MATCH(A79, 'Cash Book'!$B$2:$B$101, 0)), "NOT FOUND")</f>
        <v>58443.3</v>
      </c>
      <c r="I79" t="s">
        <v>133</v>
      </c>
      <c r="J79" t="s">
        <v>135</v>
      </c>
    </row>
    <row r="80" spans="1:10" x14ac:dyDescent="0.45">
      <c r="A80" t="s">
        <v>83</v>
      </c>
      <c r="B80" t="str">
        <f>IFERROR(INDEX('Bank Statement'!$D$2:$D$101, MATCH(A80, 'Bank Statement'!$B$2:$B$101, 0)), "NOT FOUND")</f>
        <v>Credit</v>
      </c>
      <c r="C80" s="5">
        <f>IFERROR(INDEX('Bank Statement'!$A$2:$A$101, MATCH(A80, 'Bank Statement'!$B$2:$B$101, 0)), "NOT FOUND")</f>
        <v>45805</v>
      </c>
      <c r="D80" t="str">
        <f>IFERROR(INDEX('Bank Statement'!$C$2:$C$101, MATCH(A80, 'Bank Statement'!$B$2:$B$101, 0)), "NOT FOUND")</f>
        <v>Internet Charges - Airtel</v>
      </c>
      <c r="E80" s="3">
        <f>IFERROR(INDEX('Bank Statement'!$E$2:$E$101, MATCH(A80, 'Bank Statement'!$B$2:$B$101, 0)), "NOT FOUND")</f>
        <v>58584.26</v>
      </c>
      <c r="F80" s="5">
        <f>IFERROR(INDEX('Cash Book'!$A$2:$A$101, MATCH(A80, 'Cash Book'!$B$2:$B$101, 0)), "NOT FOUND")</f>
        <v>45805</v>
      </c>
      <c r="G80" t="str">
        <f>IFERROR(INDEX('Cash Book'!$C$2:$C$101, MATCH(A80, 'Cash Book'!$B$2:$B$101, 0)), "NOT FOUND")</f>
        <v>Internet Charges - Airtel</v>
      </c>
      <c r="H80" s="7">
        <f>IFERROR(INDEX('Cash Book'!$E$2:$E$101, MATCH(A80, 'Cash Book'!$B$2:$B$101, 0)), "NOT FOUND")</f>
        <v>58584.26</v>
      </c>
      <c r="I80" t="s">
        <v>133</v>
      </c>
      <c r="J80" t="s">
        <v>135</v>
      </c>
    </row>
    <row r="81" spans="1:10" x14ac:dyDescent="0.45">
      <c r="A81" t="s">
        <v>84</v>
      </c>
      <c r="B81" t="str">
        <f>IFERROR(INDEX('Bank Statement'!$D$2:$D$101, MATCH(A81, 'Bank Statement'!$B$2:$B$101, 0)), "NOT FOUND")</f>
        <v>Debit</v>
      </c>
      <c r="C81" s="5">
        <f>IFERROR(INDEX('Bank Statement'!$A$2:$A$101, MATCH(A81, 'Bank Statement'!$B$2:$B$101, 0)), "NOT FOUND")</f>
        <v>45778</v>
      </c>
      <c r="D81" t="str">
        <f>IFERROR(INDEX('Bank Statement'!$C$2:$C$101, MATCH(A81, 'Bank Statement'!$B$2:$B$101, 0)), "NOT FOUND")</f>
        <v>Internet Charges - Airtel</v>
      </c>
      <c r="E81" s="3">
        <f>IFERROR(INDEX('Bank Statement'!$E$2:$E$101, MATCH(A81, 'Bank Statement'!$B$2:$B$101, 0)), "NOT FOUND")</f>
        <v>44325.59</v>
      </c>
      <c r="F81" s="5">
        <f>IFERROR(INDEX('Cash Book'!$A$2:$A$101, MATCH(A81, 'Cash Book'!$B$2:$B$101, 0)), "NOT FOUND")</f>
        <v>45778</v>
      </c>
      <c r="G81" t="str">
        <f>IFERROR(INDEX('Cash Book'!$C$2:$C$101, MATCH(A81, 'Cash Book'!$B$2:$B$101, 0)), "NOT FOUND")</f>
        <v>Internet Charges - Airtel</v>
      </c>
      <c r="H81" s="7">
        <f>IFERROR(INDEX('Cash Book'!$E$2:$E$101, MATCH(A81, 'Cash Book'!$B$2:$B$101, 0)), "NOT FOUND")</f>
        <v>44325.59</v>
      </c>
      <c r="I81" t="s">
        <v>133</v>
      </c>
      <c r="J81" t="s">
        <v>135</v>
      </c>
    </row>
    <row r="82" spans="1:10" x14ac:dyDescent="0.45">
      <c r="A82" t="s">
        <v>85</v>
      </c>
      <c r="B82" t="str">
        <f>IFERROR(INDEX('Bank Statement'!$D$2:$D$101, MATCH(A82, 'Bank Statement'!$B$2:$B$101, 0)), "NOT FOUND")</f>
        <v>Credit</v>
      </c>
      <c r="C82" s="5">
        <f>IFERROR(INDEX('Bank Statement'!$A$2:$A$101, MATCH(A82, 'Bank Statement'!$B$2:$B$101, 0)), "NOT FOUND")</f>
        <v>45803</v>
      </c>
      <c r="D82" t="str">
        <f>IFERROR(INDEX('Bank Statement'!$C$2:$C$101, MATCH(A82, 'Bank Statement'!$B$2:$B$101, 0)), "NOT FOUND")</f>
        <v>Staff Reimbursement - Travel</v>
      </c>
      <c r="E82" s="3">
        <f>IFERROR(INDEX('Bank Statement'!$E$2:$E$101, MATCH(A82, 'Bank Statement'!$B$2:$B$101, 0)), "NOT FOUND")</f>
        <v>16374.94</v>
      </c>
      <c r="F82" s="5">
        <f>IFERROR(INDEX('Cash Book'!$A$2:$A$101, MATCH(A82, 'Cash Book'!$B$2:$B$101, 0)), "NOT FOUND")</f>
        <v>45803</v>
      </c>
      <c r="G82" t="str">
        <f>IFERROR(INDEX('Cash Book'!$C$2:$C$101, MATCH(A82, 'Cash Book'!$B$2:$B$101, 0)), "NOT FOUND")</f>
        <v>Staff Reimbursement - Travel</v>
      </c>
      <c r="H82" s="7">
        <f>IFERROR(INDEX('Cash Book'!$E$2:$E$101, MATCH(A82, 'Cash Book'!$B$2:$B$101, 0)), "NOT FOUND")</f>
        <v>16374.94</v>
      </c>
      <c r="I82" t="s">
        <v>133</v>
      </c>
      <c r="J82" t="s">
        <v>135</v>
      </c>
    </row>
    <row r="83" spans="1:10" x14ac:dyDescent="0.45">
      <c r="A83" t="s">
        <v>86</v>
      </c>
      <c r="B83" t="str">
        <f>IFERROR(INDEX('Bank Statement'!$D$2:$D$101, MATCH(A83, 'Bank Statement'!$B$2:$B$101, 0)), "NOT FOUND")</f>
        <v>Credit</v>
      </c>
      <c r="C83" s="5">
        <f>IFERROR(INDEX('Bank Statement'!$A$2:$A$101, MATCH(A83, 'Bank Statement'!$B$2:$B$101, 0)), "NOT FOUND")</f>
        <v>45805</v>
      </c>
      <c r="D83" t="str">
        <f>IFERROR(INDEX('Bank Statement'!$C$2:$C$101, MATCH(A83, 'Bank Statement'!$B$2:$B$101, 0)), "NOT FOUND")</f>
        <v>NEFT from NetEdge Systems</v>
      </c>
      <c r="E83" s="3">
        <f>IFERROR(INDEX('Bank Statement'!$E$2:$E$101, MATCH(A83, 'Bank Statement'!$B$2:$B$101, 0)), "NOT FOUND")</f>
        <v>51586.3</v>
      </c>
      <c r="F83" s="5">
        <f>IFERROR(INDEX('Cash Book'!$A$2:$A$101, MATCH(A83, 'Cash Book'!$B$2:$B$101, 0)), "NOT FOUND")</f>
        <v>45805</v>
      </c>
      <c r="G83" t="str">
        <f>IFERROR(INDEX('Cash Book'!$C$2:$C$101, MATCH(A83, 'Cash Book'!$B$2:$B$101, 0)), "NOT FOUND")</f>
        <v>NEFT from NetEdge Systems</v>
      </c>
      <c r="H83" s="7">
        <f>IFERROR(INDEX('Cash Book'!$E$2:$E$101, MATCH(A83, 'Cash Book'!$B$2:$B$101, 0)), "NOT FOUND")</f>
        <v>51586.3</v>
      </c>
      <c r="I83" t="s">
        <v>133</v>
      </c>
      <c r="J83" t="s">
        <v>135</v>
      </c>
    </row>
    <row r="84" spans="1:10" x14ac:dyDescent="0.45">
      <c r="A84" t="s">
        <v>87</v>
      </c>
      <c r="B84" t="str">
        <f>IFERROR(INDEX('Bank Statement'!$D$2:$D$101, MATCH(A84, 'Bank Statement'!$B$2:$B$101, 0)), "NOT FOUND")</f>
        <v>Credit</v>
      </c>
      <c r="C84" s="5">
        <f>IFERROR(INDEX('Bank Statement'!$A$2:$A$101, MATCH(A84, 'Bank Statement'!$B$2:$B$101, 0)), "NOT FOUND")</f>
        <v>45804</v>
      </c>
      <c r="D84" t="str">
        <f>IFERROR(INDEX('Bank Statement'!$C$2:$C$101, MATCH(A84, 'Bank Statement'!$B$2:$B$101, 0)), "NOT FOUND")</f>
        <v>UPI Payment - UrbanClap</v>
      </c>
      <c r="E84" s="3">
        <f>IFERROR(INDEX('Bank Statement'!$E$2:$E$101, MATCH(A84, 'Bank Statement'!$B$2:$B$101, 0)), "NOT FOUND")</f>
        <v>21304.68</v>
      </c>
      <c r="F84" s="5">
        <f>IFERROR(INDEX('Cash Book'!$A$2:$A$101, MATCH(A84, 'Cash Book'!$B$2:$B$101, 0)), "NOT FOUND")</f>
        <v>45804</v>
      </c>
      <c r="G84" t="str">
        <f>IFERROR(INDEX('Cash Book'!$C$2:$C$101, MATCH(A84, 'Cash Book'!$B$2:$B$101, 0)), "NOT FOUND")</f>
        <v>UPI Payment - UrbanClap</v>
      </c>
      <c r="H84" s="7">
        <f>IFERROR(INDEX('Cash Book'!$E$2:$E$101, MATCH(A84, 'Cash Book'!$B$2:$B$101, 0)), "NOT FOUND")</f>
        <v>21304.68</v>
      </c>
      <c r="I84" t="s">
        <v>133</v>
      </c>
      <c r="J84" t="s">
        <v>135</v>
      </c>
    </row>
    <row r="85" spans="1:10" x14ac:dyDescent="0.45">
      <c r="A85" t="s">
        <v>88</v>
      </c>
      <c r="B85" t="str">
        <f>IFERROR(INDEX('Bank Statement'!$D$2:$D$101, MATCH(A85, 'Bank Statement'!$B$2:$B$101, 0)), "NOT FOUND")</f>
        <v>Debit</v>
      </c>
      <c r="C85" s="5">
        <f>IFERROR(INDEX('Bank Statement'!$A$2:$A$101, MATCH(A85, 'Bank Statement'!$B$2:$B$101, 0)), "NOT FOUND")</f>
        <v>45778</v>
      </c>
      <c r="D85" t="str">
        <f>IFERROR(INDEX('Bank Statement'!$C$2:$C$101, MATCH(A85, 'Bank Statement'!$B$2:$B$101, 0)), "NOT FOUND")</f>
        <v>Bank Charges - ICICI</v>
      </c>
      <c r="E85" s="3">
        <f>IFERROR(INDEX('Bank Statement'!$E$2:$E$101, MATCH(A85, 'Bank Statement'!$B$2:$B$101, 0)), "NOT FOUND")</f>
        <v>24208.73</v>
      </c>
      <c r="F85" s="5">
        <f>IFERROR(INDEX('Cash Book'!$A$2:$A$101, MATCH(A85, 'Cash Book'!$B$2:$B$101, 0)), "NOT FOUND")</f>
        <v>45778</v>
      </c>
      <c r="G85" t="str">
        <f>IFERROR(INDEX('Cash Book'!$C$2:$C$101, MATCH(A85, 'Cash Book'!$B$2:$B$101, 0)), "NOT FOUND")</f>
        <v>Bank Charges - ICICI</v>
      </c>
      <c r="H85" s="7">
        <f>IFERROR(INDEX('Cash Book'!$E$2:$E$101, MATCH(A85, 'Cash Book'!$B$2:$B$101, 0)), "NOT FOUND")</f>
        <v>24208.73</v>
      </c>
      <c r="I85" t="s">
        <v>133</v>
      </c>
      <c r="J85" t="s">
        <v>135</v>
      </c>
    </row>
    <row r="86" spans="1:10" x14ac:dyDescent="0.45">
      <c r="A86" t="s">
        <v>89</v>
      </c>
      <c r="B86" t="str">
        <f>IFERROR(INDEX('Bank Statement'!$D$2:$D$101, MATCH(A86, 'Bank Statement'!$B$2:$B$101, 0)), "NOT FOUND")</f>
        <v>Debit</v>
      </c>
      <c r="C86" s="5">
        <f>IFERROR(INDEX('Bank Statement'!$A$2:$A$101, MATCH(A86, 'Bank Statement'!$B$2:$B$101, 0)), "NOT FOUND")</f>
        <v>45808</v>
      </c>
      <c r="D86" t="str">
        <f>IFERROR(INDEX('Bank Statement'!$C$2:$C$101, MATCH(A86, 'Bank Statement'!$B$2:$B$101, 0)), "NOT FOUND")</f>
        <v>Utilities - Electricity Board</v>
      </c>
      <c r="E86" s="3">
        <f>IFERROR(INDEX('Bank Statement'!$E$2:$E$101, MATCH(A86, 'Bank Statement'!$B$2:$B$101, 0)), "NOT FOUND")</f>
        <v>21393.19</v>
      </c>
      <c r="F86" s="5" t="str">
        <f>IFERROR(INDEX('Cash Book'!$A$2:$A$101, MATCH(A86, 'Cash Book'!$B$2:$B$101, 0)), "NOT FOUND")</f>
        <v>NOT FOUND</v>
      </c>
      <c r="G86" t="str">
        <f>IFERROR(INDEX('Cash Book'!$C$2:$C$101, MATCH(A86, 'Cash Book'!$B$2:$B$101, 0)), "NOT FOUND")</f>
        <v>NOT FOUND</v>
      </c>
      <c r="H86" s="7" t="str">
        <f>IFERROR(INDEX('Cash Book'!$E$2:$E$101, MATCH(A86, 'Cash Book'!$B$2:$B$101, 0)), "NOT FOUND")</f>
        <v>NOT FOUND</v>
      </c>
      <c r="I86" t="s">
        <v>134</v>
      </c>
      <c r="J86" s="8">
        <v>21393.19</v>
      </c>
    </row>
    <row r="87" spans="1:10" x14ac:dyDescent="0.45">
      <c r="A87" t="s">
        <v>90</v>
      </c>
      <c r="B87" t="str">
        <f>IFERROR(INDEX('Bank Statement'!$D$2:$D$101, MATCH(A87, 'Bank Statement'!$B$2:$B$101, 0)), "NOT FOUND")</f>
        <v>Credit</v>
      </c>
      <c r="C87" s="5">
        <f>IFERROR(INDEX('Bank Statement'!$A$2:$A$101, MATCH(A87, 'Bank Statement'!$B$2:$B$101, 0)), "NOT FOUND")</f>
        <v>45804</v>
      </c>
      <c r="D87" t="str">
        <f>IFERROR(INDEX('Bank Statement'!$C$2:$C$101, MATCH(A87, 'Bank Statement'!$B$2:$B$101, 0)), "NOT FOUND")</f>
        <v>Cheque Deposit - Enzine Solutions</v>
      </c>
      <c r="E87" s="3">
        <f>IFERROR(INDEX('Bank Statement'!$E$2:$E$101, MATCH(A87, 'Bank Statement'!$B$2:$B$101, 0)), "NOT FOUND")</f>
        <v>20203.419999999998</v>
      </c>
      <c r="F87" s="5">
        <f>IFERROR(INDEX('Cash Book'!$A$2:$A$101, MATCH(A87, 'Cash Book'!$B$2:$B$101, 0)), "NOT FOUND")</f>
        <v>45804</v>
      </c>
      <c r="G87" t="str">
        <f>IFERROR(INDEX('Cash Book'!$C$2:$C$101, MATCH(A87, 'Cash Book'!$B$2:$B$101, 0)), "NOT FOUND")</f>
        <v>Cheque Deposit - Enzine Solutions</v>
      </c>
      <c r="H87" s="7">
        <f>IFERROR(INDEX('Cash Book'!$E$2:$E$101, MATCH(A87, 'Cash Book'!$B$2:$B$101, 0)), "NOT FOUND")</f>
        <v>20203.419999999998</v>
      </c>
      <c r="I87" t="s">
        <v>133</v>
      </c>
      <c r="J87" t="s">
        <v>135</v>
      </c>
    </row>
    <row r="88" spans="1:10" x14ac:dyDescent="0.45">
      <c r="A88" t="s">
        <v>91</v>
      </c>
      <c r="B88" t="str">
        <f>IFERROR(INDEX('Bank Statement'!$D$2:$D$101, MATCH(A88, 'Bank Statement'!$B$2:$B$101, 0)), "NOT FOUND")</f>
        <v>Debit</v>
      </c>
      <c r="C88" s="5">
        <f>IFERROR(INDEX('Bank Statement'!$A$2:$A$101, MATCH(A88, 'Bank Statement'!$B$2:$B$101, 0)), "NOT FOUND")</f>
        <v>45806</v>
      </c>
      <c r="D88" t="str">
        <f>IFERROR(INDEX('Bank Statement'!$C$2:$C$101, MATCH(A88, 'Bank Statement'!$B$2:$B$101, 0)), "NOT FOUND")</f>
        <v>Utilities - Electricity Board</v>
      </c>
      <c r="E88" s="3">
        <f>IFERROR(INDEX('Bank Statement'!$E$2:$E$101, MATCH(A88, 'Bank Statement'!$B$2:$B$101, 0)), "NOT FOUND")</f>
        <v>11124.79</v>
      </c>
      <c r="F88" s="5">
        <f>IFERROR(INDEX('Cash Book'!$A$2:$A$101, MATCH(A88, 'Cash Book'!$B$2:$B$101, 0)), "NOT FOUND")</f>
        <v>45806</v>
      </c>
      <c r="G88" t="str">
        <f>IFERROR(INDEX('Cash Book'!$C$2:$C$101, MATCH(A88, 'Cash Book'!$B$2:$B$101, 0)), "NOT FOUND")</f>
        <v>Utilities - Electricity Board</v>
      </c>
      <c r="H88" s="7">
        <f>IFERROR(INDEX('Cash Book'!$E$2:$E$101, MATCH(A88, 'Cash Book'!$B$2:$B$101, 0)), "NOT FOUND")</f>
        <v>11124.79</v>
      </c>
      <c r="I88" t="s">
        <v>133</v>
      </c>
      <c r="J88" t="s">
        <v>135</v>
      </c>
    </row>
    <row r="89" spans="1:10" x14ac:dyDescent="0.45">
      <c r="A89" t="s">
        <v>92</v>
      </c>
      <c r="B89" t="str">
        <f>IFERROR(INDEX('Bank Statement'!$D$2:$D$101, MATCH(A89, 'Bank Statement'!$B$2:$B$101, 0)), "NOT FOUND")</f>
        <v>Debit</v>
      </c>
      <c r="C89" s="5">
        <f>IFERROR(INDEX('Bank Statement'!$A$2:$A$101, MATCH(A89, 'Bank Statement'!$B$2:$B$101, 0)), "NOT FOUND")</f>
        <v>45781</v>
      </c>
      <c r="D89" t="str">
        <f>IFERROR(INDEX('Bank Statement'!$C$2:$C$101, MATCH(A89, 'Bank Statement'!$B$2:$B$101, 0)), "NOT FOUND")</f>
        <v>Direct Credit - Stripe</v>
      </c>
      <c r="E89" s="3">
        <f>IFERROR(INDEX('Bank Statement'!$E$2:$E$101, MATCH(A89, 'Bank Statement'!$B$2:$B$101, 0)), "NOT FOUND")</f>
        <v>21068.38</v>
      </c>
      <c r="F89" s="5">
        <f>IFERROR(INDEX('Cash Book'!$A$2:$A$101, MATCH(A89, 'Cash Book'!$B$2:$B$101, 0)), "NOT FOUND")</f>
        <v>45781</v>
      </c>
      <c r="G89" t="str">
        <f>IFERROR(INDEX('Cash Book'!$C$2:$C$101, MATCH(A89, 'Cash Book'!$B$2:$B$101, 0)), "NOT FOUND")</f>
        <v>Direct Credit - Stripe</v>
      </c>
      <c r="H89" s="7">
        <f>IFERROR(INDEX('Cash Book'!$E$2:$E$101, MATCH(A89, 'Cash Book'!$B$2:$B$101, 0)), "NOT FOUND")</f>
        <v>21068.38</v>
      </c>
      <c r="I89" t="s">
        <v>133</v>
      </c>
      <c r="J89" t="s">
        <v>135</v>
      </c>
    </row>
    <row r="90" spans="1:10" x14ac:dyDescent="0.45">
      <c r="A90" t="s">
        <v>93</v>
      </c>
      <c r="B90" t="str">
        <f>IFERROR(INDEX('Bank Statement'!$D$2:$D$101, MATCH(A90, 'Bank Statement'!$B$2:$B$101, 0)), "NOT FOUND")</f>
        <v>Credit</v>
      </c>
      <c r="C90" s="5">
        <f>IFERROR(INDEX('Bank Statement'!$A$2:$A$101, MATCH(A90, 'Bank Statement'!$B$2:$B$101, 0)), "NOT FOUND")</f>
        <v>45797</v>
      </c>
      <c r="D90" t="str">
        <f>IFERROR(INDEX('Bank Statement'!$C$2:$C$101, MATCH(A90, 'Bank Statement'!$B$2:$B$101, 0)), "NOT FOUND")</f>
        <v>ATM Withdrawal</v>
      </c>
      <c r="E90" s="3">
        <f>IFERROR(INDEX('Bank Statement'!$E$2:$E$101, MATCH(A90, 'Bank Statement'!$B$2:$B$101, 0)), "NOT FOUND")</f>
        <v>7380.92</v>
      </c>
      <c r="F90" s="5">
        <f>IFERROR(INDEX('Cash Book'!$A$2:$A$101, MATCH(A90, 'Cash Book'!$B$2:$B$101, 0)), "NOT FOUND")</f>
        <v>45797</v>
      </c>
      <c r="G90" t="str">
        <f>IFERROR(INDEX('Cash Book'!$C$2:$C$101, MATCH(A90, 'Cash Book'!$B$2:$B$101, 0)), "NOT FOUND")</f>
        <v>ATM Withdrawal</v>
      </c>
      <c r="H90" s="7">
        <f>IFERROR(INDEX('Cash Book'!$E$2:$E$101, MATCH(A90, 'Cash Book'!$B$2:$B$101, 0)), "NOT FOUND")</f>
        <v>7380.92</v>
      </c>
      <c r="I90" t="s">
        <v>133</v>
      </c>
      <c r="J90" t="s">
        <v>135</v>
      </c>
    </row>
    <row r="91" spans="1:10" x14ac:dyDescent="0.45">
      <c r="A91" t="s">
        <v>94</v>
      </c>
      <c r="B91" t="str">
        <f>IFERROR(INDEX('Bank Statement'!$D$2:$D$101, MATCH(A91, 'Bank Statement'!$B$2:$B$101, 0)), "NOT FOUND")</f>
        <v>Credit</v>
      </c>
      <c r="C91" s="5">
        <f>IFERROR(INDEX('Bank Statement'!$A$2:$A$101, MATCH(A91, 'Bank Statement'!$B$2:$B$101, 0)), "NOT FOUND")</f>
        <v>45779</v>
      </c>
      <c r="D91" t="str">
        <f>IFERROR(INDEX('Bank Statement'!$C$2:$C$101, MATCH(A91, 'Bank Statement'!$B$2:$B$101, 0)), "NOT FOUND")</f>
        <v>Direct Credit - Stripe</v>
      </c>
      <c r="E91" s="3">
        <f>IFERROR(INDEX('Bank Statement'!$E$2:$E$101, MATCH(A91, 'Bank Statement'!$B$2:$B$101, 0)), "NOT FOUND")</f>
        <v>600.63</v>
      </c>
      <c r="F91" s="5">
        <f>IFERROR(INDEX('Cash Book'!$A$2:$A$101, MATCH(A91, 'Cash Book'!$B$2:$B$101, 0)), "NOT FOUND")</f>
        <v>45779</v>
      </c>
      <c r="G91" t="str">
        <f>IFERROR(INDEX('Cash Book'!$C$2:$C$101, MATCH(A91, 'Cash Book'!$B$2:$B$101, 0)), "NOT FOUND")</f>
        <v>Direct Credit - Stripe</v>
      </c>
      <c r="H91" s="7">
        <f>IFERROR(INDEX('Cash Book'!$E$2:$E$101, MATCH(A91, 'Cash Book'!$B$2:$B$101, 0)), "NOT FOUND")</f>
        <v>600.63</v>
      </c>
      <c r="I91" t="s">
        <v>133</v>
      </c>
      <c r="J91" t="s">
        <v>135</v>
      </c>
    </row>
    <row r="92" spans="1:10" x14ac:dyDescent="0.45">
      <c r="A92" t="s">
        <v>95</v>
      </c>
      <c r="B92" t="str">
        <f>IFERROR(INDEX('Bank Statement'!$D$2:$D$101, MATCH(A92, 'Bank Statement'!$B$2:$B$101, 0)), "NOT FOUND")</f>
        <v>Debit</v>
      </c>
      <c r="C92" s="5">
        <f>IFERROR(INDEX('Bank Statement'!$A$2:$A$101, MATCH(A92, 'Bank Statement'!$B$2:$B$101, 0)), "NOT FOUND")</f>
        <v>45791</v>
      </c>
      <c r="D92" t="str">
        <f>IFERROR(INDEX('Bank Statement'!$C$2:$C$101, MATCH(A92, 'Bank Statement'!$B$2:$B$101, 0)), "NOT FOUND")</f>
        <v>Cheque Deposit - Aria Fintech</v>
      </c>
      <c r="E92" s="3">
        <f>IFERROR(INDEX('Bank Statement'!$E$2:$E$101, MATCH(A92, 'Bank Statement'!$B$2:$B$101, 0)), "NOT FOUND")</f>
        <v>56958.03</v>
      </c>
      <c r="F92" s="5" t="str">
        <f>IFERROR(INDEX('Cash Book'!$A$2:$A$101, MATCH(A92, 'Cash Book'!$B$2:$B$101, 0)), "NOT FOUND")</f>
        <v>NOT FOUND</v>
      </c>
      <c r="G92" t="str">
        <f>IFERROR(INDEX('Cash Book'!$C$2:$C$101, MATCH(A92, 'Cash Book'!$B$2:$B$101, 0)), "NOT FOUND")</f>
        <v>NOT FOUND</v>
      </c>
      <c r="H92" s="7" t="str">
        <f>IFERROR(INDEX('Cash Book'!$E$2:$E$101, MATCH(A92, 'Cash Book'!$B$2:$B$101, 0)), "NOT FOUND")</f>
        <v>NOT FOUND</v>
      </c>
      <c r="I92" t="s">
        <v>134</v>
      </c>
      <c r="J92" s="8">
        <v>56958.03</v>
      </c>
    </row>
    <row r="93" spans="1:10" x14ac:dyDescent="0.45">
      <c r="A93" t="s">
        <v>96</v>
      </c>
      <c r="B93" t="str">
        <f>IFERROR(INDEX('Bank Statement'!$D$2:$D$101, MATCH(A93, 'Bank Statement'!$B$2:$B$101, 0)), "NOT FOUND")</f>
        <v>Debit</v>
      </c>
      <c r="C93" s="5">
        <f>IFERROR(INDEX('Bank Statement'!$A$2:$A$101, MATCH(A93, 'Bank Statement'!$B$2:$B$101, 0)), "NOT FOUND")</f>
        <v>45788</v>
      </c>
      <c r="D93" t="str">
        <f>IFERROR(INDEX('Bank Statement'!$C$2:$C$101, MATCH(A93, 'Bank Statement'!$B$2:$B$101, 0)), "NOT FOUND")</f>
        <v>Vendor Payment - Printica</v>
      </c>
      <c r="E93" s="3">
        <f>IFERROR(INDEX('Bank Statement'!$E$2:$E$101, MATCH(A93, 'Bank Statement'!$B$2:$B$101, 0)), "NOT FOUND")</f>
        <v>43325.38</v>
      </c>
      <c r="F93" s="5" t="str">
        <f>IFERROR(INDEX('Cash Book'!$A$2:$A$101, MATCH(A93, 'Cash Book'!$B$2:$B$101, 0)), "NOT FOUND")</f>
        <v>NOT FOUND</v>
      </c>
      <c r="G93" t="str">
        <f>IFERROR(INDEX('Cash Book'!$C$2:$C$101, MATCH(A93, 'Cash Book'!$B$2:$B$101, 0)), "NOT FOUND")</f>
        <v>NOT FOUND</v>
      </c>
      <c r="H93" s="7" t="str">
        <f>IFERROR(INDEX('Cash Book'!$E$2:$E$101, MATCH(A93, 'Cash Book'!$B$2:$B$101, 0)), "NOT FOUND")</f>
        <v>NOT FOUND</v>
      </c>
      <c r="I93" t="s">
        <v>134</v>
      </c>
      <c r="J93" s="8">
        <v>43325.38</v>
      </c>
    </row>
    <row r="94" spans="1:10" x14ac:dyDescent="0.45">
      <c r="A94" t="s">
        <v>97</v>
      </c>
      <c r="B94" t="str">
        <f>IFERROR(INDEX('Bank Statement'!$D$2:$D$101, MATCH(A94, 'Bank Statement'!$B$2:$B$101, 0)), "NOT FOUND")</f>
        <v>Debit</v>
      </c>
      <c r="C94" s="5">
        <f>IFERROR(INDEX('Bank Statement'!$A$2:$A$101, MATCH(A94, 'Bank Statement'!$B$2:$B$101, 0)), "NOT FOUND")</f>
        <v>45787</v>
      </c>
      <c r="D94" t="str">
        <f>IFERROR(INDEX('Bank Statement'!$C$2:$C$101, MATCH(A94, 'Bank Statement'!$B$2:$B$101, 0)), "NOT FOUND")</f>
        <v>Direct Credit - Stripe</v>
      </c>
      <c r="E94" s="3">
        <f>IFERROR(INDEX('Bank Statement'!$E$2:$E$101, MATCH(A94, 'Bank Statement'!$B$2:$B$101, 0)), "NOT FOUND")</f>
        <v>19907.88</v>
      </c>
      <c r="F94" s="5" t="str">
        <f>IFERROR(INDEX('Cash Book'!$A$2:$A$101, MATCH(A94, 'Cash Book'!$B$2:$B$101, 0)), "NOT FOUND")</f>
        <v>NOT FOUND</v>
      </c>
      <c r="G94" t="str">
        <f>IFERROR(INDEX('Cash Book'!$C$2:$C$101, MATCH(A94, 'Cash Book'!$B$2:$B$101, 0)), "NOT FOUND")</f>
        <v>NOT FOUND</v>
      </c>
      <c r="H94" s="7" t="str">
        <f>IFERROR(INDEX('Cash Book'!$E$2:$E$101, MATCH(A94, 'Cash Book'!$B$2:$B$101, 0)), "NOT FOUND")</f>
        <v>NOT FOUND</v>
      </c>
      <c r="I94" t="s">
        <v>134</v>
      </c>
      <c r="J94" s="8">
        <v>19907.88</v>
      </c>
    </row>
    <row r="95" spans="1:10" x14ac:dyDescent="0.45">
      <c r="A95" t="s">
        <v>98</v>
      </c>
      <c r="B95" t="str">
        <f>IFERROR(INDEX('Bank Statement'!$D$2:$D$101, MATCH(A95, 'Bank Statement'!$B$2:$B$101, 0)), "NOT FOUND")</f>
        <v>Debit</v>
      </c>
      <c r="C95" s="5">
        <f>IFERROR(INDEX('Bank Statement'!$A$2:$A$101, MATCH(A95, 'Bank Statement'!$B$2:$B$101, 0)), "NOT FOUND")</f>
        <v>45782</v>
      </c>
      <c r="D95" t="str">
        <f>IFERROR(INDEX('Bank Statement'!$C$2:$C$101, MATCH(A95, 'Bank Statement'!$B$2:$B$101, 0)), "NOT FOUND")</f>
        <v>Bank Charges - ICICI</v>
      </c>
      <c r="E95" s="3">
        <f>IFERROR(INDEX('Bank Statement'!$E$2:$E$101, MATCH(A95, 'Bank Statement'!$B$2:$B$101, 0)), "NOT FOUND")</f>
        <v>25516.560000000001</v>
      </c>
      <c r="F95" s="5" t="str">
        <f>IFERROR(INDEX('Cash Book'!$A$2:$A$101, MATCH(A95, 'Cash Book'!$B$2:$B$101, 0)), "NOT FOUND")</f>
        <v>NOT FOUND</v>
      </c>
      <c r="G95" t="str">
        <f>IFERROR(INDEX('Cash Book'!$C$2:$C$101, MATCH(A95, 'Cash Book'!$B$2:$B$101, 0)), "NOT FOUND")</f>
        <v>NOT FOUND</v>
      </c>
      <c r="H95" s="7" t="str">
        <f>IFERROR(INDEX('Cash Book'!$E$2:$E$101, MATCH(A95, 'Cash Book'!$B$2:$B$101, 0)), "NOT FOUND")</f>
        <v>NOT FOUND</v>
      </c>
      <c r="I95" t="s">
        <v>134</v>
      </c>
      <c r="J95" s="8">
        <v>25516.560000000001</v>
      </c>
    </row>
    <row r="96" spans="1:10" x14ac:dyDescent="0.45">
      <c r="A96" t="s">
        <v>99</v>
      </c>
      <c r="B96" t="str">
        <f>IFERROR(INDEX('Bank Statement'!$D$2:$D$101, MATCH(A96, 'Bank Statement'!$B$2:$B$101, 0)), "NOT FOUND")</f>
        <v>Debit</v>
      </c>
      <c r="C96" s="5">
        <f>IFERROR(INDEX('Bank Statement'!$A$2:$A$101, MATCH(A96, 'Bank Statement'!$B$2:$B$101, 0)), "NOT FOUND")</f>
        <v>45801</v>
      </c>
      <c r="D96" t="str">
        <f>IFERROR(INDEX('Bank Statement'!$C$2:$C$101, MATCH(A96, 'Bank Statement'!$B$2:$B$101, 0)), "NOT FOUND")</f>
        <v>Internet Charges - Airtel</v>
      </c>
      <c r="E96" s="3">
        <f>IFERROR(INDEX('Bank Statement'!$E$2:$E$101, MATCH(A96, 'Bank Statement'!$B$2:$B$101, 0)), "NOT FOUND")</f>
        <v>37123.14</v>
      </c>
      <c r="F96" s="5">
        <f>IFERROR(INDEX('Cash Book'!$A$2:$A$101, MATCH(A96, 'Cash Book'!$B$2:$B$101, 0)), "NOT FOUND")</f>
        <v>45801</v>
      </c>
      <c r="G96" t="str">
        <f>IFERROR(INDEX('Cash Book'!$C$2:$C$101, MATCH(A96, 'Cash Book'!$B$2:$B$101, 0)), "NOT FOUND")</f>
        <v>Internet Charges - Airtel</v>
      </c>
      <c r="H96" s="7">
        <f>IFERROR(INDEX('Cash Book'!$E$2:$E$101, MATCH(A96, 'Cash Book'!$B$2:$B$101, 0)), "NOT FOUND")</f>
        <v>37123.14</v>
      </c>
      <c r="I96" t="s">
        <v>133</v>
      </c>
      <c r="J96" t="s">
        <v>135</v>
      </c>
    </row>
    <row r="97" spans="1:10" x14ac:dyDescent="0.45">
      <c r="A97" t="s">
        <v>100</v>
      </c>
      <c r="B97" t="str">
        <f>IFERROR(INDEX('Bank Statement'!$D$2:$D$101, MATCH(A97, 'Bank Statement'!$B$2:$B$101, 0)), "NOT FOUND")</f>
        <v>Credit</v>
      </c>
      <c r="C97" s="5">
        <f>IFERROR(INDEX('Bank Statement'!$A$2:$A$101, MATCH(A97, 'Bank Statement'!$B$2:$B$101, 0)), "NOT FOUND")</f>
        <v>45795</v>
      </c>
      <c r="D97" t="str">
        <f>IFERROR(INDEX('Bank Statement'!$C$2:$C$101, MATCH(A97, 'Bank Statement'!$B$2:$B$101, 0)), "NOT FOUND")</f>
        <v>Customer Payment - ZephyrTech</v>
      </c>
      <c r="E97" s="3">
        <f>IFERROR(INDEX('Bank Statement'!$E$2:$E$101, MATCH(A97, 'Bank Statement'!$B$2:$B$101, 0)), "NOT FOUND")</f>
        <v>18580.560000000001</v>
      </c>
      <c r="F97" s="5">
        <f>IFERROR(INDEX('Cash Book'!$A$2:$A$101, MATCH(A97, 'Cash Book'!$B$2:$B$101, 0)), "NOT FOUND")</f>
        <v>45795</v>
      </c>
      <c r="G97" t="str">
        <f>IFERROR(INDEX('Cash Book'!$C$2:$C$101, MATCH(A97, 'Cash Book'!$B$2:$B$101, 0)), "NOT FOUND")</f>
        <v>Customer Payment - ZephyrTech</v>
      </c>
      <c r="H97" s="7">
        <f>IFERROR(INDEX('Cash Book'!$E$2:$E$101, MATCH(A97, 'Cash Book'!$B$2:$B$101, 0)), "NOT FOUND")</f>
        <v>18580.560000000001</v>
      </c>
      <c r="I97" t="s">
        <v>133</v>
      </c>
      <c r="J97" t="s">
        <v>135</v>
      </c>
    </row>
    <row r="98" spans="1:10" x14ac:dyDescent="0.45">
      <c r="A98" t="s">
        <v>101</v>
      </c>
      <c r="B98" t="str">
        <f>IFERROR(INDEX('Bank Statement'!$D$2:$D$101, MATCH(A98, 'Bank Statement'!$B$2:$B$101, 0)), "NOT FOUND")</f>
        <v>Debit</v>
      </c>
      <c r="C98" s="5">
        <f>IFERROR(INDEX('Bank Statement'!$A$2:$A$101, MATCH(A98, 'Bank Statement'!$B$2:$B$101, 0)), "NOT FOUND")</f>
        <v>45803</v>
      </c>
      <c r="D98" t="str">
        <f>IFERROR(INDEX('Bank Statement'!$C$2:$C$101, MATCH(A98, 'Bank Statement'!$B$2:$B$101, 0)), "NOT FOUND")</f>
        <v>Payment to Revanta Designs</v>
      </c>
      <c r="E98" s="3">
        <f>IFERROR(INDEX('Bank Statement'!$E$2:$E$101, MATCH(A98, 'Bank Statement'!$B$2:$B$101, 0)), "NOT FOUND")</f>
        <v>28166.799999999999</v>
      </c>
      <c r="F98" s="5" t="str">
        <f>IFERROR(INDEX('Cash Book'!$A$2:$A$101, MATCH(A98, 'Cash Book'!$B$2:$B$101, 0)), "NOT FOUND")</f>
        <v>NOT FOUND</v>
      </c>
      <c r="G98" t="str">
        <f>IFERROR(INDEX('Cash Book'!$C$2:$C$101, MATCH(A98, 'Cash Book'!$B$2:$B$101, 0)), "NOT FOUND")</f>
        <v>NOT FOUND</v>
      </c>
      <c r="H98" s="7" t="str">
        <f>IFERROR(INDEX('Cash Book'!$E$2:$E$101, MATCH(A98, 'Cash Book'!$B$2:$B$101, 0)), "NOT FOUND")</f>
        <v>NOT FOUND</v>
      </c>
      <c r="I98" t="s">
        <v>134</v>
      </c>
      <c r="J98" s="8">
        <v>28166.799999999999</v>
      </c>
    </row>
    <row r="99" spans="1:10" x14ac:dyDescent="0.45">
      <c r="A99" t="s">
        <v>102</v>
      </c>
      <c r="B99" t="str">
        <f>IFERROR(INDEX('Bank Statement'!$D$2:$D$101, MATCH(A99, 'Bank Statement'!$B$2:$B$101, 0)), "NOT FOUND")</f>
        <v>Credit</v>
      </c>
      <c r="C99" s="5">
        <f>IFERROR(INDEX('Bank Statement'!$A$2:$A$101, MATCH(A99, 'Bank Statement'!$B$2:$B$101, 0)), "NOT FOUND")</f>
        <v>45784</v>
      </c>
      <c r="D99" t="str">
        <f>IFERROR(INDEX('Bank Statement'!$C$2:$C$101, MATCH(A99, 'Bank Statement'!$B$2:$B$101, 0)), "NOT FOUND")</f>
        <v>ATM Withdrawal</v>
      </c>
      <c r="E99" s="3">
        <f>IFERROR(INDEX('Bank Statement'!$E$2:$E$101, MATCH(A99, 'Bank Statement'!$B$2:$B$101, 0)), "NOT FOUND")</f>
        <v>28654.58</v>
      </c>
      <c r="F99" s="5" t="str">
        <f>IFERROR(INDEX('Cash Book'!$A$2:$A$101, MATCH(A99, 'Cash Book'!$B$2:$B$101, 0)), "NOT FOUND")</f>
        <v>NOT FOUND</v>
      </c>
      <c r="G99" t="str">
        <f>IFERROR(INDEX('Cash Book'!$C$2:$C$101, MATCH(A99, 'Cash Book'!$B$2:$B$101, 0)), "NOT FOUND")</f>
        <v>NOT FOUND</v>
      </c>
      <c r="H99" s="7" t="str">
        <f>IFERROR(INDEX('Cash Book'!$E$2:$E$101, MATCH(A99, 'Cash Book'!$B$2:$B$101, 0)), "NOT FOUND")</f>
        <v>NOT FOUND</v>
      </c>
      <c r="I99" t="s">
        <v>134</v>
      </c>
      <c r="J99" s="8">
        <v>28654.58</v>
      </c>
    </row>
    <row r="100" spans="1:10" x14ac:dyDescent="0.45">
      <c r="A100" t="s">
        <v>103</v>
      </c>
      <c r="B100" t="str">
        <f>IFERROR(INDEX('Bank Statement'!$D$2:$D$101, MATCH(A100, 'Bank Statement'!$B$2:$B$101, 0)), "NOT FOUND")</f>
        <v>Debit</v>
      </c>
      <c r="C100" s="5">
        <f>IFERROR(INDEX('Bank Statement'!$A$2:$A$101, MATCH(A100, 'Bank Statement'!$B$2:$B$101, 0)), "NOT FOUND")</f>
        <v>45780</v>
      </c>
      <c r="D100" t="str">
        <f>IFERROR(INDEX('Bank Statement'!$C$2:$C$101, MATCH(A100, 'Bank Statement'!$B$2:$B$101, 0)), "NOT FOUND")</f>
        <v>Hosting - AWS</v>
      </c>
      <c r="E100" s="3">
        <f>IFERROR(INDEX('Bank Statement'!$E$2:$E$101, MATCH(A100, 'Bank Statement'!$B$2:$B$101, 0)), "NOT FOUND")</f>
        <v>31169.39</v>
      </c>
      <c r="F100" s="5">
        <f>IFERROR(INDEX('Cash Book'!$A$2:$A$101, MATCH(A100, 'Cash Book'!$B$2:$B$101, 0)), "NOT FOUND")</f>
        <v>45780</v>
      </c>
      <c r="G100" t="str">
        <f>IFERROR(INDEX('Cash Book'!$C$2:$C$101, MATCH(A100, 'Cash Book'!$B$2:$B$101, 0)), "NOT FOUND")</f>
        <v>Hosting - AWS</v>
      </c>
      <c r="H100" s="7">
        <f>IFERROR(INDEX('Cash Book'!$E$2:$E$101, MATCH(A100, 'Cash Book'!$B$2:$B$101, 0)), "NOT FOUND")</f>
        <v>31169.39</v>
      </c>
      <c r="I100" t="s">
        <v>133</v>
      </c>
      <c r="J100" t="s">
        <v>135</v>
      </c>
    </row>
    <row r="101" spans="1:10" x14ac:dyDescent="0.45">
      <c r="A101" t="s">
        <v>104</v>
      </c>
      <c r="B101" t="str">
        <f>IFERROR(INDEX('Bank Statement'!$D$2:$D$101, MATCH(A101, 'Bank Statement'!$B$2:$B$101, 0)), "NOT FOUND")</f>
        <v>Credit</v>
      </c>
      <c r="C101" s="5">
        <f>IFERROR(INDEX('Bank Statement'!$A$2:$A$101, MATCH(A101, 'Bank Statement'!$B$2:$B$101, 0)), "NOT FOUND")</f>
        <v>45804</v>
      </c>
      <c r="D101" t="str">
        <f>IFERROR(INDEX('Bank Statement'!$C$2:$C$101, MATCH(A101, 'Bank Statement'!$B$2:$B$101, 0)), "NOT FOUND")</f>
        <v>Staff Reimbursement - Travel</v>
      </c>
      <c r="E101" s="3">
        <f>IFERROR(INDEX('Bank Statement'!$E$2:$E$101, MATCH(A101, 'Bank Statement'!$B$2:$B$101, 0)), "NOT FOUND")</f>
        <v>40531.339999999997</v>
      </c>
      <c r="F101" s="5">
        <f>IFERROR(INDEX('Cash Book'!$A$2:$A$101, MATCH(A101, 'Cash Book'!$B$2:$B$101, 0)), "NOT FOUND")</f>
        <v>45804</v>
      </c>
      <c r="G101" t="str">
        <f>IFERROR(INDEX('Cash Book'!$C$2:$C$101, MATCH(A101, 'Cash Book'!$B$2:$B$101, 0)), "NOT FOUND")</f>
        <v>Staff Reimbursement - Travel</v>
      </c>
      <c r="H101" s="7">
        <f>IFERROR(INDEX('Cash Book'!$E$2:$E$101, MATCH(A101, 'Cash Book'!$B$2:$B$101, 0)), "NOT FOUND")</f>
        <v>40531.339999999997</v>
      </c>
      <c r="I101" t="s">
        <v>133</v>
      </c>
      <c r="J101" t="s">
        <v>135</v>
      </c>
    </row>
    <row r="102" spans="1:10" x14ac:dyDescent="0.45">
      <c r="C102" s="14"/>
    </row>
    <row r="103" spans="1:10" x14ac:dyDescent="0.45">
      <c r="A103" s="9"/>
      <c r="B103" s="9"/>
      <c r="C103" s="10"/>
      <c r="D103" s="9"/>
      <c r="E103" s="9"/>
      <c r="F103" s="10"/>
      <c r="G103" s="9"/>
      <c r="H103" s="9"/>
      <c r="I103" s="9"/>
      <c r="J103" s="9"/>
    </row>
    <row r="104" spans="1:10" x14ac:dyDescent="0.45">
      <c r="A104" s="9"/>
      <c r="B104" s="9"/>
      <c r="C104" s="10"/>
      <c r="D104" s="9"/>
      <c r="E104" s="9"/>
      <c r="F104" s="10"/>
      <c r="G104" s="9"/>
      <c r="H104" s="9"/>
      <c r="I104" s="9"/>
      <c r="J104" s="9"/>
    </row>
    <row r="105" spans="1:10" x14ac:dyDescent="0.45">
      <c r="A105" s="9"/>
      <c r="B105" s="9"/>
      <c r="C105" s="10"/>
      <c r="D105" s="9"/>
      <c r="E105" s="9"/>
      <c r="F105" s="10"/>
      <c r="G105" s="9"/>
      <c r="H105" s="9"/>
      <c r="I105" s="9"/>
      <c r="J105" s="9"/>
    </row>
    <row r="106" spans="1:10" x14ac:dyDescent="0.45">
      <c r="A106" s="9"/>
      <c r="B106" s="9"/>
      <c r="C106" s="10"/>
      <c r="D106" s="9"/>
      <c r="E106" s="9"/>
      <c r="F106" s="10"/>
      <c r="G106" s="9"/>
      <c r="H106" s="9"/>
      <c r="I106" s="9"/>
      <c r="J106" s="9"/>
    </row>
    <row r="107" spans="1:10" x14ac:dyDescent="0.45">
      <c r="A107" s="9"/>
      <c r="B107" s="9"/>
      <c r="C107" s="10"/>
      <c r="D107" s="9"/>
      <c r="E107" s="9"/>
      <c r="F107" s="9"/>
      <c r="G107" s="9"/>
    </row>
  </sheetData>
  <conditionalFormatting sqref="F1:F1048576 H1:H1048576">
    <cfRule type="cellIs" dxfId="4" priority="7" operator="equal">
      <formula>"NOT FOUND"</formula>
    </cfRule>
  </conditionalFormatting>
  <conditionalFormatting sqref="G1:G1048576">
    <cfRule type="containsText" dxfId="3" priority="6" operator="containsText" text="NOT FOUND">
      <formula>NOT(ISERROR(SEARCH("NOT FOUND",G1)))</formula>
    </cfRule>
  </conditionalFormatting>
  <conditionalFormatting sqref="I1:I1048576">
    <cfRule type="cellIs" dxfId="2" priority="1" operator="equal">
      <formula>"Book Only"</formula>
    </cfRule>
    <cfRule type="cellIs" dxfId="1" priority="3" operator="equal">
      <formula>"Bank Only"</formula>
    </cfRule>
    <cfRule type="cellIs" dxfId="0" priority="4" operator="equal">
      <formula>"Matched"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Entry Form</vt:lpstr>
      <vt:lpstr>History Log</vt:lpstr>
      <vt:lpstr>Bank Statement</vt:lpstr>
      <vt:lpstr>Cash Book</vt:lpstr>
      <vt:lpstr>Reconcilliation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Ahana LS</dc:creator>
  <cp:lastModifiedBy>Ahana LS</cp:lastModifiedBy>
  <dcterms:created xsi:type="dcterms:W3CDTF">2025-06-28T21:12:18Z</dcterms:created>
  <dcterms:modified xsi:type="dcterms:W3CDTF">2025-07-11T04:35:09Z</dcterms:modified>
</cp:coreProperties>
</file>